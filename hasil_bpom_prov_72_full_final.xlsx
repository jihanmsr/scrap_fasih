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kapitulasi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0" customWidth="1" min="5" max="5"/>
    <col width="15" customWidth="1" min="6" max="6"/>
    <col width="15" customWidth="1" min="7" max="7"/>
  </cols>
  <sheetData>
    <row r="1">
      <c r="A1" t="inlineStr">
        <is>
          <t>Kode Kabupaten</t>
        </is>
      </c>
      <c r="B1" t="inlineStr">
        <is>
          <t>Keberadaan Usaha</t>
        </is>
      </c>
      <c r="E1" t="inlineStr">
        <is>
          <t>Jumlah</t>
        </is>
      </c>
      <c r="F1" t="inlineStr">
        <is>
          <t>Tindak Lanjut</t>
        </is>
      </c>
      <c r="G1" t="inlineStr">
        <is>
          <t>Persentase</t>
        </is>
      </c>
    </row>
    <row r="2">
      <c r="B2" t="inlineStr">
        <is>
          <t>0. Tidak Ditemukan</t>
        </is>
      </c>
      <c r="C2" t="inlineStr">
        <is>
          <t>1. Ditemukan</t>
        </is>
      </c>
      <c r="D2" t="inlineStr">
        <is>
          <t>2. Baru</t>
        </is>
      </c>
    </row>
    <row r="3">
      <c r="A3" t="n">
        <v>7201</v>
      </c>
      <c r="B3">
        <f>COUNTIFS(Sheet1!C:C, 1, Sheet1!R:R, 0)</f>
        <v/>
      </c>
      <c r="C3">
        <f>COUNTIFS(Sheet1!C:C, 1, Sheet1!R:R, 1)</f>
        <v/>
      </c>
      <c r="D3">
        <f>COUNTIFS(Sheet1!C:C, 1, Sheet1!R:R, 2)</f>
        <v/>
      </c>
      <c r="E3">
        <f>SUM(B3:D3)</f>
        <v/>
      </c>
      <c r="F3">
        <f>COUNTIFS(Sheet1!C:C, 1, Sheet1!X:X, "&lt;&gt;")</f>
        <v/>
      </c>
      <c r="G3">
        <f>IF(E3&gt;0, (F3/E3)*100, 0)</f>
        <v/>
      </c>
    </row>
    <row r="4">
      <c r="A4" t="n">
        <v>7202</v>
      </c>
      <c r="B4">
        <f>COUNTIFS(Sheet1!C:C, 2, Sheet1!R:R, 0)</f>
        <v/>
      </c>
      <c r="C4">
        <f>COUNTIFS(Sheet1!C:C, 2, Sheet1!R:R, 1)</f>
        <v/>
      </c>
      <c r="D4">
        <f>COUNTIFS(Sheet1!C:C, 2, Sheet1!R:R, 2)</f>
        <v/>
      </c>
      <c r="E4">
        <f>SUM(B4:D4)</f>
        <v/>
      </c>
      <c r="F4">
        <f>COUNTIFS(Sheet1!C:C, 2, Sheet1!X:X, "&lt;&gt;")</f>
        <v/>
      </c>
      <c r="G4">
        <f>IF(E4&gt;0, (F4/E4)*100, 0)</f>
        <v/>
      </c>
    </row>
    <row r="5">
      <c r="A5" t="n">
        <v>7203</v>
      </c>
      <c r="B5">
        <f>COUNTIFS(Sheet1!C:C, 3, Sheet1!R:R, 0)</f>
        <v/>
      </c>
      <c r="C5">
        <f>COUNTIFS(Sheet1!C:C, 3, Sheet1!R:R, 1)</f>
        <v/>
      </c>
      <c r="D5">
        <f>COUNTIFS(Sheet1!C:C, 3, Sheet1!R:R, 2)</f>
        <v/>
      </c>
      <c r="E5">
        <f>SUM(B5:D5)</f>
        <v/>
      </c>
      <c r="F5">
        <f>COUNTIFS(Sheet1!C:C, 3, Sheet1!X:X, "&lt;&gt;")</f>
        <v/>
      </c>
      <c r="G5">
        <f>IF(E5&gt;0, (F5/E5)*100, 0)</f>
        <v/>
      </c>
    </row>
    <row r="6">
      <c r="A6" t="n">
        <v>7204</v>
      </c>
      <c r="B6">
        <f>COUNTIFS(Sheet1!C:C, 4, Sheet1!R:R, 0)</f>
        <v/>
      </c>
      <c r="C6">
        <f>COUNTIFS(Sheet1!C:C, 4, Sheet1!R:R, 1)</f>
        <v/>
      </c>
      <c r="D6">
        <f>COUNTIFS(Sheet1!C:C, 4, Sheet1!R:R, 2)</f>
        <v/>
      </c>
      <c r="E6">
        <f>SUM(B6:D6)</f>
        <v/>
      </c>
      <c r="F6">
        <f>COUNTIFS(Sheet1!C:C, 4, Sheet1!X:X, "&lt;&gt;")</f>
        <v/>
      </c>
      <c r="G6">
        <f>IF(E6&gt;0, (F6/E6)*100, 0)</f>
        <v/>
      </c>
    </row>
    <row r="7">
      <c r="A7" t="n">
        <v>7205</v>
      </c>
      <c r="B7">
        <f>COUNTIFS(Sheet1!C:C, 5, Sheet1!R:R, 0)</f>
        <v/>
      </c>
      <c r="C7">
        <f>COUNTIFS(Sheet1!C:C, 5, Sheet1!R:R, 1)</f>
        <v/>
      </c>
      <c r="D7">
        <f>COUNTIFS(Sheet1!C:C, 5, Sheet1!R:R, 2)</f>
        <v/>
      </c>
      <c r="E7">
        <f>SUM(B7:D7)</f>
        <v/>
      </c>
      <c r="F7">
        <f>COUNTIFS(Sheet1!C:C, 5, Sheet1!X:X, "&lt;&gt;")</f>
        <v/>
      </c>
      <c r="G7">
        <f>IF(E7&gt;0, (F7/E7)*100, 0)</f>
        <v/>
      </c>
    </row>
    <row r="8">
      <c r="A8" t="n">
        <v>7207</v>
      </c>
      <c r="B8">
        <f>COUNTIFS(Sheet1!C:C, 7, Sheet1!R:R, 0)</f>
        <v/>
      </c>
      <c r="C8">
        <f>COUNTIFS(Sheet1!C:C, 7, Sheet1!R:R, 1)</f>
        <v/>
      </c>
      <c r="D8">
        <f>COUNTIFS(Sheet1!C:C, 7, Sheet1!R:R, 2)</f>
        <v/>
      </c>
      <c r="E8">
        <f>SUM(B8:D8)</f>
        <v/>
      </c>
      <c r="F8">
        <f>COUNTIFS(Sheet1!C:C, 7, Sheet1!X:X, "&lt;&gt;")</f>
        <v/>
      </c>
      <c r="G8">
        <f>IF(E8&gt;0, (F8/E8)*100, 0)</f>
        <v/>
      </c>
    </row>
    <row r="9">
      <c r="A9" t="n">
        <v>7208</v>
      </c>
      <c r="B9">
        <f>COUNTIFS(Sheet1!C:C, 8, Sheet1!R:R, 0)</f>
        <v/>
      </c>
      <c r="C9">
        <f>COUNTIFS(Sheet1!C:C, 8, Sheet1!R:R, 1)</f>
        <v/>
      </c>
      <c r="D9">
        <f>COUNTIFS(Sheet1!C:C, 8, Sheet1!R:R, 2)</f>
        <v/>
      </c>
      <c r="E9">
        <f>SUM(B9:D9)</f>
        <v/>
      </c>
      <c r="F9">
        <f>COUNTIFS(Sheet1!C:C, 8, Sheet1!X:X, "&lt;&gt;")</f>
        <v/>
      </c>
      <c r="G9">
        <f>IF(E9&gt;0, (F9/E9)*100, 0)</f>
        <v/>
      </c>
    </row>
    <row r="10">
      <c r="A10" t="n">
        <v>7209</v>
      </c>
      <c r="B10">
        <f>COUNTIFS(Sheet1!C:C, 9, Sheet1!R:R, 0)</f>
        <v/>
      </c>
      <c r="C10">
        <f>COUNTIFS(Sheet1!C:C, 9, Sheet1!R:R, 1)</f>
        <v/>
      </c>
      <c r="D10">
        <f>COUNTIFS(Sheet1!C:C, 9, Sheet1!R:R, 2)</f>
        <v/>
      </c>
      <c r="E10">
        <f>SUM(B10:D10)</f>
        <v/>
      </c>
      <c r="F10">
        <f>COUNTIFS(Sheet1!C:C, 9, Sheet1!X:X, "&lt;&gt;")</f>
        <v/>
      </c>
      <c r="G10">
        <f>IF(E10&gt;0, (F10/E10)*100, 0)</f>
        <v/>
      </c>
    </row>
    <row r="11">
      <c r="A11" t="n">
        <v>7210</v>
      </c>
      <c r="B11">
        <f>COUNTIFS(Sheet1!C:C, 10, Sheet1!R:R, 0)</f>
        <v/>
      </c>
      <c r="C11">
        <f>COUNTIFS(Sheet1!C:C, 10, Sheet1!R:R, 1)</f>
        <v/>
      </c>
      <c r="D11">
        <f>COUNTIFS(Sheet1!C:C, 10, Sheet1!R:R, 2)</f>
        <v/>
      </c>
      <c r="E11">
        <f>SUM(B11:D11)</f>
        <v/>
      </c>
      <c r="F11">
        <f>COUNTIFS(Sheet1!C:C, 10, Sheet1!X:X, "&lt;&gt;")</f>
        <v/>
      </c>
      <c r="G11">
        <f>IF(E11&gt;0, (F11/E11)*100, 0)</f>
        <v/>
      </c>
    </row>
    <row r="12">
      <c r="A12" t="n">
        <v>7211</v>
      </c>
      <c r="B12">
        <f>COUNTIFS(Sheet1!C:C, 11, Sheet1!R:R, 0)</f>
        <v/>
      </c>
      <c r="C12">
        <f>COUNTIFS(Sheet1!C:C, 11, Sheet1!R:R, 1)</f>
        <v/>
      </c>
      <c r="D12">
        <f>COUNTIFS(Sheet1!C:C, 11, Sheet1!R:R, 2)</f>
        <v/>
      </c>
      <c r="E12">
        <f>SUM(B12:D12)</f>
        <v/>
      </c>
      <c r="F12">
        <f>COUNTIFS(Sheet1!C:C, 11, Sheet1!X:X, "&lt;&gt;")</f>
        <v/>
      </c>
      <c r="G12">
        <f>IF(E12&gt;0, (F12/E12)*100, 0)</f>
        <v/>
      </c>
    </row>
    <row r="13">
      <c r="A13" t="n">
        <v>7212</v>
      </c>
      <c r="B13">
        <f>COUNTIFS(Sheet1!C:C, 12, Sheet1!R:R, 0)</f>
        <v/>
      </c>
      <c r="C13">
        <f>COUNTIFS(Sheet1!C:C, 12, Sheet1!R:R, 1)</f>
        <v/>
      </c>
      <c r="D13">
        <f>COUNTIFS(Sheet1!C:C, 12, Sheet1!R:R, 2)</f>
        <v/>
      </c>
      <c r="E13">
        <f>SUM(B13:D13)</f>
        <v/>
      </c>
      <c r="F13">
        <f>COUNTIFS(Sheet1!C:C, 12, Sheet1!X:X, "&lt;&gt;")</f>
        <v/>
      </c>
      <c r="G13">
        <f>IF(E13&gt;0, (F13/E13)*100, 0)</f>
        <v/>
      </c>
    </row>
    <row r="14">
      <c r="A14" t="n">
        <v>7271</v>
      </c>
      <c r="B14">
        <f>COUNTIFS(Sheet1!C:C, 71, Sheet1!R:R, 0)</f>
        <v/>
      </c>
      <c r="C14">
        <f>COUNTIFS(Sheet1!C:C, 71, Sheet1!R:R, 1)</f>
        <v/>
      </c>
      <c r="D14">
        <f>COUNTIFS(Sheet1!C:C, 71, Sheet1!R:R, 2)</f>
        <v/>
      </c>
      <c r="E14">
        <f>SUM(B14:D14)</f>
        <v/>
      </c>
      <c r="F14">
        <f>COUNTIFS(Sheet1!C:C, 71, Sheet1!X:X, "&lt;&gt;")</f>
        <v/>
      </c>
      <c r="G14">
        <f>IF(E14&gt;0, (F14/E14)*100, 0)</f>
        <v/>
      </c>
    </row>
    <row r="15">
      <c r="A15" t="n">
        <v>7200</v>
      </c>
      <c r="B15">
        <f>SUM(B3:B14)</f>
        <v/>
      </c>
      <c r="C15">
        <f>SUM(C3:C14)</f>
        <v/>
      </c>
      <c r="D15">
        <f>SUM(D3:D14)</f>
        <v/>
      </c>
      <c r="E15">
        <f>SUM(E3:E14)</f>
        <v/>
      </c>
      <c r="F15">
        <f>SUM(F3:F14)</f>
        <v/>
      </c>
      <c r="G15">
        <f>IF(E15&gt;0, (F15/E15)*100, 0)</f>
        <v/>
      </c>
    </row>
  </sheetData>
  <mergeCells count="5">
    <mergeCell ref="B1:D1"/>
    <mergeCell ref="G1:G2"/>
    <mergeCell ref="F1:F2"/>
    <mergeCell ref="E1:E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kdprov</t>
        </is>
      </c>
      <c r="C1" s="1" t="inlineStr">
        <is>
          <t>kdkab</t>
        </is>
      </c>
      <c r="D1" s="1" t="inlineStr">
        <is>
          <t>kdkec</t>
        </is>
      </c>
      <c r="E1" s="1" t="inlineStr">
        <is>
          <t>kddesa</t>
        </is>
      </c>
      <c r="F1" s="1" t="inlineStr">
        <is>
          <t>kdsls</t>
        </is>
      </c>
      <c r="G1" s="1" t="inlineStr">
        <is>
          <t>kdsubsls</t>
        </is>
      </c>
      <c r="H1" s="1" t="inlineStr">
        <is>
          <t>idsbr</t>
        </is>
      </c>
      <c r="I1" s="1" t="inlineStr">
        <is>
          <t>kode_kbli_prelist</t>
        </is>
      </c>
      <c r="J1" s="1" t="inlineStr">
        <is>
          <t>kbli_prelist</t>
        </is>
      </c>
      <c r="K1" s="1" t="inlineStr">
        <is>
          <t>kode_kbli</t>
        </is>
      </c>
      <c r="L1" s="1" t="inlineStr">
        <is>
          <t>kbli</t>
        </is>
      </c>
      <c r="M1" s="1" t="inlineStr">
        <is>
          <t>nama_usaha</t>
        </is>
      </c>
      <c r="N1" s="1" t="inlineStr">
        <is>
          <t>alamat_usaha</t>
        </is>
      </c>
      <c r="O1" s="1" t="inlineStr">
        <is>
          <t>nama_pengusaha</t>
        </is>
      </c>
      <c r="P1" s="1" t="inlineStr">
        <is>
          <t>nik_pengusaha</t>
        </is>
      </c>
      <c r="Q1" s="1" t="inlineStr">
        <is>
          <t>keberadaan_usaha</t>
        </is>
      </c>
      <c r="R1" s="1" t="inlineStr">
        <is>
          <t>keberadaan_usaha_value</t>
        </is>
      </c>
      <c r="S1" s="1" t="inlineStr">
        <is>
          <t>memiliki_izin_edar_bpom</t>
        </is>
      </c>
      <c r="T1" s="1" t="inlineStr">
        <is>
          <t>jumlah_varian_produk_terdaftar_bpom</t>
        </is>
      </c>
      <c r="U1" s="1" t="inlineStr">
        <is>
          <t>jumlah_varian_produk_tidak_terdaftar_bpom</t>
        </is>
      </c>
      <c r="V1" s="1" t="inlineStr">
        <is>
          <t>tindak_lanjut</t>
        </is>
      </c>
      <c r="W1" s="1" t="inlineStr">
        <is>
          <t>kbli_bpom_buped</t>
        </is>
      </c>
      <c r="X1" s="1" t="inlineStr">
        <is>
          <t>Hasil Tindak Lanjut</t>
        </is>
      </c>
      <c r="Y1" s="1" t="inlineStr">
        <is>
          <t>Alamat Sebenarnya</t>
        </is>
      </c>
      <c r="Z1" s="1" t="inlineStr">
        <is>
          <t>Unnamed: 25</t>
        </is>
      </c>
      <c r="AA1" s="1" t="inlineStr">
        <is>
          <t>Keterangan</t>
        </is>
      </c>
      <c r="AB1" s="1" t="inlineStr">
        <is>
          <t>kode_identitas_16digit</t>
        </is>
      </c>
      <c r="AC1" s="1" t="inlineStr">
        <is>
          <t>status_by_id</t>
        </is>
      </c>
    </row>
    <row r="2">
      <c r="A2" t="inlineStr">
        <is>
          <t>88d4cb79-095f-403d-bb20-6ddbf031e2da</t>
        </is>
      </c>
      <c r="B2" t="n">
        <v>72</v>
      </c>
      <c r="C2" t="n">
        <v>1</v>
      </c>
      <c r="D2" t="n">
        <v>40</v>
      </c>
      <c r="E2" t="n">
        <v>14</v>
      </c>
      <c r="F2" t="n">
        <v>11</v>
      </c>
      <c r="G2" t="n">
        <v>0</v>
      </c>
      <c r="H2" t="n">
        <v>47125785</v>
      </c>
      <c r="I2" t="n">
        <v>10303</v>
      </c>
      <c r="J2" t="inlineStr">
        <is>
          <t>Pengeringan Buah-buahan dan Sayuran</t>
        </is>
      </c>
      <c r="M2" t="inlineStr">
        <is>
          <t>FARIDA SUADU</t>
        </is>
      </c>
      <c r="N2" t="inlineStr">
        <is>
          <t>DESA BAKA</t>
        </is>
      </c>
      <c r="Q2" t="inlineStr">
        <is>
          <t>0. Tidak Ditemukan</t>
        </is>
      </c>
      <c r="R2" t="n">
        <v>0</v>
      </c>
      <c r="V2" t="inlineStr">
        <is>
          <t>Pastikan sesuai kondisi lapangan</t>
        </is>
      </c>
      <c r="W2" t="n">
        <v>0</v>
      </c>
      <c r="AB2" t="inlineStr">
        <is>
          <t>7201040014001100</t>
        </is>
      </c>
      <c r="AC2" t="inlineStr">
        <is>
          <t>APPROVED BY Pengawas</t>
        </is>
      </c>
    </row>
    <row r="3">
      <c r="A3" t="inlineStr">
        <is>
          <t>9993af48-7b82-4042-9895-cf6acac9a509</t>
        </is>
      </c>
      <c r="B3" t="n">
        <v>72</v>
      </c>
      <c r="C3" t="n">
        <v>1</v>
      </c>
      <c r="D3" t="n">
        <v>40</v>
      </c>
      <c r="E3" t="n">
        <v>14</v>
      </c>
      <c r="F3" t="n">
        <v>14</v>
      </c>
      <c r="G3" t="n">
        <v>0</v>
      </c>
      <c r="H3" t="n">
        <v>48966033</v>
      </c>
      <c r="I3" t="n">
        <v>10792</v>
      </c>
      <c r="J3" t="inlineStr">
        <is>
          <t>Industri Kue Basah</t>
        </is>
      </c>
      <c r="M3" t="inlineStr">
        <is>
          <t>LINY YANI</t>
        </is>
      </c>
      <c r="N3" t="inlineStr">
        <is>
          <t>SALAKAN</t>
        </is>
      </c>
      <c r="Q3" t="inlineStr">
        <is>
          <t>0. Tidak Ditemukan</t>
        </is>
      </c>
      <c r="R3" t="n">
        <v>0</v>
      </c>
      <c r="V3" t="inlineStr">
        <is>
          <t>Pastikan sesuai kondisi lapangan</t>
        </is>
      </c>
      <c r="W3" t="n">
        <v>0</v>
      </c>
      <c r="AB3" t="inlineStr">
        <is>
          <t>7201040014001400</t>
        </is>
      </c>
      <c r="AC3" t="inlineStr">
        <is>
          <t>APPROVED BY Pengawas</t>
        </is>
      </c>
    </row>
    <row r="4">
      <c r="A4" t="inlineStr">
        <is>
          <t>3041ec90-1b99-4050-ba9f-d44945406908</t>
        </is>
      </c>
      <c r="B4" t="n">
        <v>72</v>
      </c>
      <c r="C4" t="n">
        <v>1</v>
      </c>
      <c r="D4" t="n">
        <v>41</v>
      </c>
      <c r="E4" t="n">
        <v>2</v>
      </c>
      <c r="F4" t="n">
        <v>2</v>
      </c>
      <c r="G4" t="n">
        <v>0</v>
      </c>
      <c r="H4" t="n">
        <v>43996271</v>
      </c>
      <c r="I4" t="n">
        <v>10779</v>
      </c>
      <c r="J4" t="inlineStr">
        <is>
          <t>Industri Bumbu Masakan Lainnya</t>
        </is>
      </c>
      <c r="M4" t="inlineStr">
        <is>
          <t>SANTI YABIE</t>
        </is>
      </c>
      <c r="N4" t="inlineStr">
        <is>
          <t>JL SAMUDRA</t>
        </is>
      </c>
      <c r="Q4" t="inlineStr">
        <is>
          <t>0. Tidak Ditemukan</t>
        </is>
      </c>
      <c r="R4" t="n">
        <v>0</v>
      </c>
      <c r="V4" t="inlineStr">
        <is>
          <t>Pastikan sesuai kondisi lapangan</t>
        </is>
      </c>
      <c r="W4" t="n">
        <v>0</v>
      </c>
      <c r="AB4" t="inlineStr">
        <is>
          <t>7201041002000200</t>
        </is>
      </c>
      <c r="AC4" t="inlineStr">
        <is>
          <t>APPROVED BY Pengawas</t>
        </is>
      </c>
    </row>
    <row r="5">
      <c r="A5" t="inlineStr">
        <is>
          <t>ebc25102-f999-427d-a096-d552361df474</t>
        </is>
      </c>
      <c r="B5" t="n">
        <v>72</v>
      </c>
      <c r="C5" t="n">
        <v>1</v>
      </c>
      <c r="D5" t="n">
        <v>42</v>
      </c>
      <c r="E5" t="n">
        <v>5</v>
      </c>
      <c r="F5" t="n">
        <v>5</v>
      </c>
      <c r="G5" t="n">
        <v>0</v>
      </c>
      <c r="H5" t="n">
        <v>43620885</v>
      </c>
      <c r="I5" t="n">
        <v>10722</v>
      </c>
      <c r="J5" t="inlineStr">
        <is>
          <t>Industri Gula Merah</t>
        </is>
      </c>
      <c r="M5" t="inlineStr">
        <is>
          <t>HARSIN KASIANG</t>
        </is>
      </c>
      <c r="N5" t="inlineStr">
        <is>
          <t>DESA LALONG</t>
        </is>
      </c>
      <c r="Q5" t="inlineStr">
        <is>
          <t>0. Tidak Ditemukan</t>
        </is>
      </c>
      <c r="R5" t="n">
        <v>0</v>
      </c>
      <c r="V5" t="inlineStr">
        <is>
          <t>Pastikan sesuai kondisi lapangan</t>
        </is>
      </c>
      <c r="W5" t="n">
        <v>0</v>
      </c>
      <c r="X5" t="inlineStr">
        <is>
          <t>prelist tidak berada di SLS seharusnya</t>
        </is>
      </c>
      <c r="Y5" t="inlineStr">
        <is>
          <t>Lalong, RT 1 Dusun 1</t>
        </is>
      </c>
      <c r="AB5" t="inlineStr">
        <is>
          <t>7201042005000500</t>
        </is>
      </c>
      <c r="AC5" t="inlineStr">
        <is>
          <t>APPROVED BY Pengawas</t>
        </is>
      </c>
    </row>
    <row r="6">
      <c r="A6" t="inlineStr">
        <is>
          <t>0f40d5ef-174e-4f43-9a32-8d54902524b5</t>
        </is>
      </c>
      <c r="B6" t="n">
        <v>72</v>
      </c>
      <c r="C6" t="n">
        <v>1</v>
      </c>
      <c r="D6" t="n">
        <v>51</v>
      </c>
      <c r="E6" t="n">
        <v>6</v>
      </c>
      <c r="F6" t="n">
        <v>6</v>
      </c>
      <c r="G6" t="n">
        <v>0</v>
      </c>
      <c r="H6" t="n">
        <v>43516347</v>
      </c>
      <c r="I6" t="n">
        <v>10710</v>
      </c>
      <c r="J6" t="inlineStr">
        <is>
          <t>Industri Produk Bakeri</t>
        </is>
      </c>
      <c r="K6" t="n">
        <v>1261</v>
      </c>
      <c r="L6" t="inlineStr">
        <is>
          <t>Pertanian Kelapa</t>
        </is>
      </c>
      <c r="M6" t="inlineStr">
        <is>
          <t>INDUSTRI KOPRA (RAIS YASIBANG)</t>
        </is>
      </c>
      <c r="N6" t="inlineStr">
        <is>
          <t>KOMPLEKS PAISUKUDANG, RT 6 DUSUN 3 ALAKASING -</t>
        </is>
      </c>
      <c r="O6" t="inlineStr">
        <is>
          <t>RAIS YASIBANG</t>
        </is>
      </c>
      <c r="Q6" t="inlineStr">
        <is>
          <t>2. Baru</t>
        </is>
      </c>
      <c r="R6" t="n">
        <v>2</v>
      </c>
      <c r="V6" t="inlineStr">
        <is>
          <t>Pastikan kode KBLI sesuai dengan kode KBLI cakupan BPOM yang tertera dalam buku Pedoman</t>
        </is>
      </c>
      <c r="W6" t="n">
        <v>0</v>
      </c>
      <c r="AB6" t="inlineStr">
        <is>
          <t>7201051006000600</t>
        </is>
      </c>
      <c r="AC6" t="inlineStr">
        <is>
          <t>APPROVED BY Pengawas</t>
        </is>
      </c>
    </row>
    <row r="7">
      <c r="A7" t="inlineStr">
        <is>
          <t>1486cabf-72a5-4f9f-8058-29efa2a28157</t>
        </is>
      </c>
      <c r="B7" t="n">
        <v>72</v>
      </c>
      <c r="C7" t="n">
        <v>1</v>
      </c>
      <c r="D7" t="n">
        <v>51</v>
      </c>
      <c r="E7" t="n">
        <v>6</v>
      </c>
      <c r="F7" t="n">
        <v>6</v>
      </c>
      <c r="G7" t="n">
        <v>0</v>
      </c>
      <c r="H7" t="n">
        <v>43516347</v>
      </c>
      <c r="I7" t="n">
        <v>10710</v>
      </c>
      <c r="J7" t="inlineStr">
        <is>
          <t>Industri Produk Bakeri</t>
        </is>
      </c>
      <c r="K7" t="n">
        <v>47112</v>
      </c>
      <c r="L7" t="inlineStr">
        <is>
          <t>Perdagangan Eceran Berbagai Macam Barang yang Utamanya Makanan, Minuman, atau Tembakau Selain dengan Sistem Swalayan</t>
        </is>
      </c>
      <c r="M7" t="inlineStr">
        <is>
          <t>PERDAGANGAN ECERAN SEMBAKO (MARIAH)</t>
        </is>
      </c>
      <c r="N7" t="inlineStr">
        <is>
          <t>KOMPLEKS PAISU KUDANG, RT 6 DUSUN 3 DESA ALAKASING -</t>
        </is>
      </c>
      <c r="O7" t="inlineStr">
        <is>
          <t>MARIAH RAH PANDAK</t>
        </is>
      </c>
      <c r="Q7" t="inlineStr">
        <is>
          <t>2. Baru</t>
        </is>
      </c>
      <c r="R7" t="n">
        <v>2</v>
      </c>
      <c r="V7" t="inlineStr">
        <is>
          <t>Pastikan kode KBLI sesuai dengan kode KBLI cakupan BPOM yang tertera dalam buku Pedoman</t>
        </is>
      </c>
      <c r="W7" t="n">
        <v>1</v>
      </c>
      <c r="AB7" t="inlineStr">
        <is>
          <t>7201051006000600</t>
        </is>
      </c>
      <c r="AC7" t="inlineStr">
        <is>
          <t>APPROVED BY Pengawas</t>
        </is>
      </c>
    </row>
    <row r="8">
      <c r="A8" t="inlineStr">
        <is>
          <t>1486cabf-72a5-4f9f-8058-29efa2a28157</t>
        </is>
      </c>
      <c r="B8" t="n">
        <v>72</v>
      </c>
      <c r="C8" t="n">
        <v>1</v>
      </c>
      <c r="D8" t="n">
        <v>51</v>
      </c>
      <c r="E8" t="n">
        <v>6</v>
      </c>
      <c r="F8" t="n">
        <v>6</v>
      </c>
      <c r="G8" t="n">
        <v>0</v>
      </c>
      <c r="H8" t="n">
        <v>43516347</v>
      </c>
      <c r="I8" t="n">
        <v>10710</v>
      </c>
      <c r="J8" t="inlineStr">
        <is>
          <t>Industri Produk Bakeri</t>
        </is>
      </c>
      <c r="K8" t="n">
        <v>47302</v>
      </c>
      <c r="L8" t="inlineStr">
        <is>
          <t>Perdagangan Eceran Bahan Bakar Selain di Sarana Pengisian Bahan Bakar</t>
        </is>
      </c>
      <c r="M8" t="inlineStr">
        <is>
          <t>USAHA BENSIN (MARIA RAH PANDAK)</t>
        </is>
      </c>
      <c r="N8" t="inlineStr">
        <is>
          <t>KOMPLEKS PAISU KUDANG, RT 6 DUSUN 3 DESA ALAKASING</t>
        </is>
      </c>
      <c r="O8" t="inlineStr">
        <is>
          <t>MARIAH RAH PANDAK</t>
        </is>
      </c>
      <c r="Q8" t="inlineStr">
        <is>
          <t>2. Baru</t>
        </is>
      </c>
      <c r="R8" t="n">
        <v>2</v>
      </c>
      <c r="V8" t="inlineStr">
        <is>
          <t>Pastikan kode KBLI sesuai dengan kode KBLI cakupan BPOM yang tertera dalam buku Pedoman</t>
        </is>
      </c>
      <c r="W8" t="n">
        <v>0</v>
      </c>
      <c r="AB8" t="inlineStr">
        <is>
          <t>7201051006000600</t>
        </is>
      </c>
      <c r="AC8" t="inlineStr">
        <is>
          <t>APPROVED BY Pengawas</t>
        </is>
      </c>
    </row>
    <row r="9">
      <c r="A9" t="inlineStr">
        <is>
          <t>0f40d5ef-174e-4f43-9a32-8d54902524b5</t>
        </is>
      </c>
      <c r="B9" t="n">
        <v>72</v>
      </c>
      <c r="C9" t="n">
        <v>1</v>
      </c>
      <c r="D9" t="n">
        <v>51</v>
      </c>
      <c r="E9" t="n">
        <v>6</v>
      </c>
      <c r="F9" t="n">
        <v>6</v>
      </c>
      <c r="G9" t="n">
        <v>0</v>
      </c>
      <c r="H9" t="n">
        <v>43516347</v>
      </c>
      <c r="I9" t="n">
        <v>10710</v>
      </c>
      <c r="J9" t="inlineStr">
        <is>
          <t>Industri Produk Bakeri</t>
        </is>
      </c>
      <c r="K9" t="n">
        <v>10750</v>
      </c>
      <c r="L9" t="inlineStr">
        <is>
          <t>Industri Makanan dan Masakan Olahan</t>
        </is>
      </c>
      <c r="M9" t="inlineStr">
        <is>
          <t>PEDAGANG SAYUR MASAK KELILING (HAENA)</t>
        </is>
      </c>
      <c r="N9" t="inlineStr">
        <is>
          <t>KOMPLEKS PAISUKUDANG, RT 6 DUSUN 3 ALAKASING -</t>
        </is>
      </c>
      <c r="O9" t="inlineStr">
        <is>
          <t>HAENA</t>
        </is>
      </c>
      <c r="Q9" t="inlineStr">
        <is>
          <t>2. Baru</t>
        </is>
      </c>
      <c r="R9" t="n">
        <v>2</v>
      </c>
      <c r="S9" t="inlineStr">
        <is>
          <t>3. Tidak</t>
        </is>
      </c>
      <c r="U9" t="n">
        <v>1</v>
      </c>
      <c r="W9" t="n">
        <v>1</v>
      </c>
      <c r="AB9" t="inlineStr">
        <is>
          <t>7201051006000600</t>
        </is>
      </c>
      <c r="AC9" t="inlineStr">
        <is>
          <t>APPROVED BY Pengawas</t>
        </is>
      </c>
    </row>
    <row r="10">
      <c r="A10" t="inlineStr">
        <is>
          <t>e8beb5b3-d375-4a3f-b986-8e4bb7610387</t>
        </is>
      </c>
      <c r="B10" t="n">
        <v>72</v>
      </c>
      <c r="C10" t="n">
        <v>1</v>
      </c>
      <c r="D10" t="n">
        <v>51</v>
      </c>
      <c r="E10" t="n">
        <v>6</v>
      </c>
      <c r="F10" t="n">
        <v>6</v>
      </c>
      <c r="G10" t="n">
        <v>0</v>
      </c>
      <c r="H10" t="n">
        <v>43516347</v>
      </c>
      <c r="I10" t="n">
        <v>10710</v>
      </c>
      <c r="J10" t="inlineStr">
        <is>
          <t>Industri Produk Bakeri</t>
        </is>
      </c>
      <c r="K10" t="n">
        <v>1261</v>
      </c>
      <c r="L10" t="inlineStr">
        <is>
          <t>Pertanian Kelapa</t>
        </is>
      </c>
      <c r="M10" t="inlineStr">
        <is>
          <t>PERTANIAN KELAPA (HADIR)</t>
        </is>
      </c>
      <c r="N10" t="inlineStr">
        <is>
          <t>KOMPLEKS PAISU KUDANG -</t>
        </is>
      </c>
      <c r="O10" t="inlineStr">
        <is>
          <t>HADIR</t>
        </is>
      </c>
      <c r="Q10" t="inlineStr">
        <is>
          <t>2. Baru</t>
        </is>
      </c>
      <c r="R10" t="n">
        <v>2</v>
      </c>
      <c r="V10" t="inlineStr">
        <is>
          <t>Pastikan kode KBLI sesuai dengan kode KBLI cakupan BPOM yang tertera dalam buku Pedoman</t>
        </is>
      </c>
      <c r="W10" t="n">
        <v>0</v>
      </c>
      <c r="AB10" t="inlineStr">
        <is>
          <t>7201051006000600</t>
        </is>
      </c>
      <c r="AC10" t="inlineStr">
        <is>
          <t>SUBMITTED BY Pencacah</t>
        </is>
      </c>
    </row>
    <row r="11">
      <c r="A11" t="inlineStr">
        <is>
          <t>1589cc89-218e-4b39-87f1-7d6477aa2137</t>
        </is>
      </c>
      <c r="B11" t="n">
        <v>72</v>
      </c>
      <c r="C11" t="n">
        <v>1</v>
      </c>
      <c r="D11" t="n">
        <v>51</v>
      </c>
      <c r="E11" t="n">
        <v>6</v>
      </c>
      <c r="F11" t="n">
        <v>6</v>
      </c>
      <c r="G11" t="n">
        <v>0</v>
      </c>
      <c r="H11" t="n">
        <v>43516347</v>
      </c>
      <c r="I11" t="n">
        <v>10710</v>
      </c>
      <c r="J11" t="inlineStr">
        <is>
          <t>Industri Produk Bakeri</t>
        </is>
      </c>
      <c r="K11" t="n">
        <v>1283</v>
      </c>
      <c r="L11" t="inlineStr">
        <is>
          <t>Pertanian Pala</t>
        </is>
      </c>
      <c r="M11" t="inlineStr">
        <is>
          <t>PERTANIAN PALA (IMRAN PANDAK)</t>
        </is>
      </c>
      <c r="N11" t="inlineStr">
        <is>
          <t>JLN TRANS PELING -</t>
        </is>
      </c>
      <c r="O11" t="inlineStr">
        <is>
          <t>IMRAN PANDAK</t>
        </is>
      </c>
      <c r="Q11" t="inlineStr">
        <is>
          <t>2. Baru</t>
        </is>
      </c>
      <c r="R11" t="n">
        <v>2</v>
      </c>
      <c r="V11" t="inlineStr">
        <is>
          <t>Pastikan kode KBLI sesuai dengan kode KBLI cakupan BPOM yang tertera dalam buku Pedoman</t>
        </is>
      </c>
      <c r="W11" t="n">
        <v>0</v>
      </c>
      <c r="AB11" t="inlineStr">
        <is>
          <t>7201051006000600</t>
        </is>
      </c>
      <c r="AC11" t="inlineStr">
        <is>
          <t>APPROVED BY Pengawas</t>
        </is>
      </c>
    </row>
    <row r="12">
      <c r="A12" t="inlineStr">
        <is>
          <t>f1fa4a91-b3a7-4916-98d2-afb8bad01925</t>
        </is>
      </c>
      <c r="B12" t="n">
        <v>72</v>
      </c>
      <c r="C12" t="n">
        <v>1</v>
      </c>
      <c r="D12" t="n">
        <v>51</v>
      </c>
      <c r="E12" t="n">
        <v>6</v>
      </c>
      <c r="F12" t="n">
        <v>6</v>
      </c>
      <c r="G12" t="n">
        <v>0</v>
      </c>
      <c r="H12" t="n">
        <v>43516347</v>
      </c>
      <c r="I12" t="n">
        <v>10710</v>
      </c>
      <c r="J12" t="inlineStr">
        <is>
          <t>Industri Produk Bakeri</t>
        </is>
      </c>
      <c r="K12" t="n">
        <v>10421</v>
      </c>
      <c r="L12" t="inlineStr">
        <is>
          <t>Industri Kopra</t>
        </is>
      </c>
      <c r="M12" t="inlineStr">
        <is>
          <t>INDUSTRI KOPRA (DARSONO TAMBUAK)</t>
        </is>
      </c>
      <c r="N12" t="inlineStr">
        <is>
          <t>KOMPLEKS PAISUKUDANG, RT 6 DUSUN 3 DESA ALAKASING -</t>
        </is>
      </c>
      <c r="O12" t="inlineStr">
        <is>
          <t>DARSONO TAMBUAK</t>
        </is>
      </c>
      <c r="Q12" t="inlineStr">
        <is>
          <t>2. Baru</t>
        </is>
      </c>
      <c r="R12" t="n">
        <v>2</v>
      </c>
      <c r="V12" t="inlineStr">
        <is>
          <t>Pastikan kode KBLI sesuai dengan kode KBLI cakupan BPOM yang tertera dalam buku Pedoman</t>
        </is>
      </c>
      <c r="W12" t="n">
        <v>1</v>
      </c>
      <c r="AB12" t="inlineStr">
        <is>
          <t>7201051006000600</t>
        </is>
      </c>
      <c r="AC12" t="inlineStr">
        <is>
          <t>APPROVED BY Pengawas</t>
        </is>
      </c>
    </row>
    <row r="13">
      <c r="A13" t="inlineStr">
        <is>
          <t>343314e3-b64d-449f-9314-078d50b2bad9</t>
        </is>
      </c>
      <c r="B13" t="n">
        <v>72</v>
      </c>
      <c r="C13" t="n">
        <v>1</v>
      </c>
      <c r="D13" t="n">
        <v>51</v>
      </c>
      <c r="E13" t="n">
        <v>6</v>
      </c>
      <c r="F13" t="n">
        <v>6</v>
      </c>
      <c r="G13" t="n">
        <v>0</v>
      </c>
      <c r="H13" t="n">
        <v>43516347</v>
      </c>
      <c r="I13" t="n">
        <v>10710</v>
      </c>
      <c r="J13" t="inlineStr">
        <is>
          <t>Industri Produk Bakeri</t>
        </is>
      </c>
      <c r="K13" t="n">
        <v>10421</v>
      </c>
      <c r="L13" t="inlineStr">
        <is>
          <t>Industri Kopra</t>
        </is>
      </c>
      <c r="M13" t="inlineStr">
        <is>
          <t>INDUSTRI KOPRA (NAHRUN NUR PANGE)</t>
        </is>
      </c>
      <c r="N13" t="inlineStr">
        <is>
          <t>KOMPLEKS PAISU -</t>
        </is>
      </c>
      <c r="O13" t="inlineStr">
        <is>
          <t>NAHRUN NUR PANGE</t>
        </is>
      </c>
      <c r="Q13" t="inlineStr">
        <is>
          <t>2. Baru</t>
        </is>
      </c>
      <c r="R13" t="n">
        <v>2</v>
      </c>
      <c r="V13" t="inlineStr">
        <is>
          <t>Pastikan kode KBLI sesuai dengan kode KBLI cakupan BPOM yang tertera dalam buku Pedoman</t>
        </is>
      </c>
      <c r="W13" t="n">
        <v>1</v>
      </c>
      <c r="AB13" t="inlineStr">
        <is>
          <t>7201051006000600</t>
        </is>
      </c>
      <c r="AC13" t="inlineStr">
        <is>
          <t>SUBMITTED BY Pencacah</t>
        </is>
      </c>
    </row>
    <row r="14">
      <c r="A14" t="inlineStr">
        <is>
          <t>6aee8c01-3d91-4820-ae76-c98123ec6acc</t>
        </is>
      </c>
      <c r="B14" t="n">
        <v>72</v>
      </c>
      <c r="C14" t="n">
        <v>1</v>
      </c>
      <c r="D14" t="n">
        <v>51</v>
      </c>
      <c r="E14" t="n">
        <v>6</v>
      </c>
      <c r="F14" t="n">
        <v>6</v>
      </c>
      <c r="G14" t="n">
        <v>0</v>
      </c>
      <c r="H14" t="n">
        <v>43516347</v>
      </c>
      <c r="I14" t="n">
        <v>10710</v>
      </c>
      <c r="J14" t="inlineStr">
        <is>
          <t>Industri Produk Bakeri</t>
        </is>
      </c>
      <c r="K14" t="n">
        <v>10421</v>
      </c>
      <c r="L14" t="inlineStr">
        <is>
          <t>Industri Kopra</t>
        </is>
      </c>
      <c r="M14" t="inlineStr">
        <is>
          <t>INDUSTRI KOPRA (IRSAN LAMASUI)</t>
        </is>
      </c>
      <c r="N14" t="inlineStr">
        <is>
          <t>JALAN TRANS PELING DESA ALAKASING</t>
        </is>
      </c>
      <c r="O14" t="inlineStr">
        <is>
          <t>IRSAN LAMASUI</t>
        </is>
      </c>
      <c r="Q14" t="inlineStr">
        <is>
          <t>2. Baru</t>
        </is>
      </c>
      <c r="R14" t="n">
        <v>2</v>
      </c>
      <c r="V14" t="inlineStr">
        <is>
          <t>Pastikan kode KBLI sesuai dengan kode KBLI cakupan BPOM yang tertera dalam buku Pedoman</t>
        </is>
      </c>
      <c r="W14" t="n">
        <v>1</v>
      </c>
      <c r="AB14" t="inlineStr">
        <is>
          <t>7201051006000600</t>
        </is>
      </c>
      <c r="AC14" t="inlineStr">
        <is>
          <t>APPROVED BY Pengawas</t>
        </is>
      </c>
    </row>
    <row r="15">
      <c r="A15" t="inlineStr">
        <is>
          <t>17a2abfb-4d95-4e7a-adf7-95eaa537fdcc</t>
        </is>
      </c>
      <c r="B15" t="n">
        <v>72</v>
      </c>
      <c r="C15" t="n">
        <v>1</v>
      </c>
      <c r="D15" t="n">
        <v>51</v>
      </c>
      <c r="E15" t="n">
        <v>6</v>
      </c>
      <c r="F15" t="n">
        <v>6</v>
      </c>
      <c r="G15" t="n">
        <v>0</v>
      </c>
      <c r="H15" t="n">
        <v>43516347</v>
      </c>
      <c r="I15" t="n">
        <v>10710</v>
      </c>
      <c r="J15" t="inlineStr">
        <is>
          <t>Industri Produk Bakeri</t>
        </is>
      </c>
      <c r="K15" t="n">
        <v>10421</v>
      </c>
      <c r="L15" t="inlineStr">
        <is>
          <t>Industri Kopra</t>
        </is>
      </c>
      <c r="M15" t="inlineStr">
        <is>
          <t>INDUSTRI KOPRA (JASMAN TAUPO)</t>
        </is>
      </c>
      <c r="N15" t="inlineStr">
        <is>
          <t>PAISU KUDANG, RT 6 DUSUN 3 DESA ALAKASING -</t>
        </is>
      </c>
      <c r="O15" t="inlineStr">
        <is>
          <t>JASMAN TAUPO</t>
        </is>
      </c>
      <c r="Q15" t="inlineStr">
        <is>
          <t>2. Baru</t>
        </is>
      </c>
      <c r="R15" t="n">
        <v>2</v>
      </c>
      <c r="V15" t="inlineStr">
        <is>
          <t>Pastikan kode KBLI sesuai dengan kode KBLI cakupan BPOM yang tertera dalam buku Pedoman</t>
        </is>
      </c>
      <c r="W15" t="n">
        <v>1</v>
      </c>
      <c r="AB15" t="inlineStr">
        <is>
          <t>7201051006000600</t>
        </is>
      </c>
      <c r="AC15" t="inlineStr">
        <is>
          <t>SUBMITTED BY Pencacah</t>
        </is>
      </c>
    </row>
    <row r="16">
      <c r="A16" t="inlineStr">
        <is>
          <t>88e10f32-f3d3-4d40-839b-167787757b4a</t>
        </is>
      </c>
      <c r="B16" t="n">
        <v>72</v>
      </c>
      <c r="C16" t="n">
        <v>1</v>
      </c>
      <c r="D16" t="n">
        <v>51</v>
      </c>
      <c r="E16" t="n">
        <v>6</v>
      </c>
      <c r="F16" t="n">
        <v>6</v>
      </c>
      <c r="G16" t="n">
        <v>0</v>
      </c>
      <c r="H16" t="n">
        <v>43516347</v>
      </c>
      <c r="I16" t="n">
        <v>10710</v>
      </c>
      <c r="J16" t="inlineStr">
        <is>
          <t>Industri Produk Bakeri</t>
        </is>
      </c>
      <c r="K16" t="n">
        <v>10421</v>
      </c>
      <c r="L16" t="inlineStr">
        <is>
          <t>Industri Kopra</t>
        </is>
      </c>
      <c r="M16" t="inlineStr">
        <is>
          <t>INDUSTRI KOPRA (ABDULAH SAMDENGE)</t>
        </is>
      </c>
      <c r="N16" t="inlineStr">
        <is>
          <t>KOMPLEKS PAISUKUDANG, RT 6 DUSUN 3 DESA ALAKASING. -</t>
        </is>
      </c>
      <c r="O16" t="inlineStr">
        <is>
          <t>ABDULAH SAMBADENGE</t>
        </is>
      </c>
      <c r="Q16" t="inlineStr">
        <is>
          <t>2. Baru</t>
        </is>
      </c>
      <c r="R16" t="n">
        <v>2</v>
      </c>
      <c r="V16" t="inlineStr">
        <is>
          <t>Pastikan kode KBLI sesuai dengan kode KBLI cakupan BPOM yang tertera dalam buku Pedoman</t>
        </is>
      </c>
      <c r="W16" t="n">
        <v>1</v>
      </c>
      <c r="AB16" t="inlineStr">
        <is>
          <t>7201051006000600</t>
        </is>
      </c>
      <c r="AC16" t="inlineStr">
        <is>
          <t>APPROVED BY Pengawas</t>
        </is>
      </c>
    </row>
    <row r="17">
      <c r="A17" t="inlineStr">
        <is>
          <t>1782ddec-2d26-4100-9a58-8f0cdeec5eb2</t>
        </is>
      </c>
      <c r="B17" t="n">
        <v>72</v>
      </c>
      <c r="C17" t="n">
        <v>1</v>
      </c>
      <c r="D17" t="n">
        <v>51</v>
      </c>
      <c r="E17" t="n">
        <v>6</v>
      </c>
      <c r="F17" t="n">
        <v>6</v>
      </c>
      <c r="G17" t="n">
        <v>0</v>
      </c>
      <c r="H17" t="n">
        <v>43516347</v>
      </c>
      <c r="I17" t="n">
        <v>10710</v>
      </c>
      <c r="J17" t="inlineStr">
        <is>
          <t>Industri Produk Bakeri</t>
        </is>
      </c>
      <c r="K17" t="n">
        <v>1261</v>
      </c>
      <c r="L17" t="inlineStr">
        <is>
          <t>Pertanian Kelapa</t>
        </is>
      </c>
      <c r="M17" t="inlineStr">
        <is>
          <t>PERTANIAN KELAPA (BAHMID A. MUTHALIB)</t>
        </is>
      </c>
      <c r="N17" t="inlineStr">
        <is>
          <t>KOMPLEKS PAISU KUDANG, RT6L 6 DUSUN 3</t>
        </is>
      </c>
      <c r="O17" t="inlineStr">
        <is>
          <t>BAHMID A. MUTHALIB</t>
        </is>
      </c>
      <c r="Q17" t="inlineStr">
        <is>
          <t>2. Baru</t>
        </is>
      </c>
      <c r="R17" t="n">
        <v>2</v>
      </c>
      <c r="V17" t="inlineStr">
        <is>
          <t>Pastikan kode KBLI sesuai dengan kode KBLI cakupan BPOM yang tertera dalam buku Pedoman</t>
        </is>
      </c>
      <c r="W17" t="n">
        <v>0</v>
      </c>
      <c r="AB17" t="inlineStr">
        <is>
          <t>7201051006000600</t>
        </is>
      </c>
      <c r="AC17" t="inlineStr">
        <is>
          <t>APPROVED BY Pengawas</t>
        </is>
      </c>
    </row>
    <row r="18">
      <c r="A18" t="inlineStr">
        <is>
          <t>1782ddec-2d26-4100-9a58-8f0cdeec5eb2</t>
        </is>
      </c>
      <c r="B18" t="n">
        <v>72</v>
      </c>
      <c r="C18" t="n">
        <v>1</v>
      </c>
      <c r="D18" t="n">
        <v>51</v>
      </c>
      <c r="E18" t="n">
        <v>6</v>
      </c>
      <c r="F18" t="n">
        <v>6</v>
      </c>
      <c r="G18" t="n">
        <v>0</v>
      </c>
      <c r="H18" t="n">
        <v>43516347</v>
      </c>
      <c r="I18" t="n">
        <v>10710</v>
      </c>
      <c r="J18" t="inlineStr">
        <is>
          <t>Industri Produk Bakeri</t>
        </is>
      </c>
      <c r="K18" t="n">
        <v>90200</v>
      </c>
      <c r="L18" t="inlineStr">
        <is>
          <t>Aktivitas Seni Pertunjukan</t>
        </is>
      </c>
      <c r="M18" t="inlineStr">
        <is>
          <t>JASA HIBURAN (RABI'A A. BUKARIM)</t>
        </is>
      </c>
      <c r="N18" t="inlineStr">
        <is>
          <t>KOMPLEKS PAISU KUDANG, RT6L 6 DUSUN 3</t>
        </is>
      </c>
      <c r="O18" t="inlineStr">
        <is>
          <t>RABI'A A. BUKARIM</t>
        </is>
      </c>
      <c r="Q18" t="inlineStr">
        <is>
          <t>2. Baru</t>
        </is>
      </c>
      <c r="R18" t="n">
        <v>2</v>
      </c>
      <c r="V18" t="inlineStr">
        <is>
          <t>Pastikan kode KBLI sesuai dengan kode KBLI cakupan BPOM yang tertera dalam buku Pedoman</t>
        </is>
      </c>
      <c r="W18" t="n">
        <v>0</v>
      </c>
      <c r="AB18" t="inlineStr">
        <is>
          <t>7201051006000600</t>
        </is>
      </c>
      <c r="AC18" t="inlineStr">
        <is>
          <t>APPROVED BY Pengawas</t>
        </is>
      </c>
    </row>
    <row r="19">
      <c r="A19" t="inlineStr">
        <is>
          <t>17a2abfb-4d95-4e7a-adf7-95eaa537fdcc</t>
        </is>
      </c>
      <c r="B19" t="n">
        <v>72</v>
      </c>
      <c r="C19" t="n">
        <v>1</v>
      </c>
      <c r="D19" t="n">
        <v>51</v>
      </c>
      <c r="E19" t="n">
        <v>6</v>
      </c>
      <c r="F19" t="n">
        <v>6</v>
      </c>
      <c r="G19" t="n">
        <v>0</v>
      </c>
      <c r="H19" t="n">
        <v>43516347</v>
      </c>
      <c r="I19" t="n">
        <v>10710</v>
      </c>
      <c r="J19" t="inlineStr">
        <is>
          <t>Industri Produk Bakeri</t>
        </is>
      </c>
      <c r="K19" t="n">
        <v>1131</v>
      </c>
      <c r="L19" t="inlineStr">
        <is>
          <t>Pertanian Sayuran Daun</t>
        </is>
      </c>
      <c r="M19" t="inlineStr">
        <is>
          <t>PERTANIAN SAYURAN DAUN (HANIN YASIBANG)</t>
        </is>
      </c>
      <c r="N19" t="inlineStr">
        <is>
          <t>PAISU KUDANG, RT 6 DUSUN 3 DESA ALAKASING -</t>
        </is>
      </c>
      <c r="O19" t="inlineStr">
        <is>
          <t>HANIN YASIBANG</t>
        </is>
      </c>
      <c r="Q19" t="inlineStr">
        <is>
          <t>2. Baru</t>
        </is>
      </c>
      <c r="R19" t="n">
        <v>2</v>
      </c>
      <c r="V19" t="inlineStr">
        <is>
          <t>Pastikan kode KBLI sesuai dengan kode KBLI cakupan BPOM yang tertera dalam buku Pedoman</t>
        </is>
      </c>
      <c r="W19" t="n">
        <v>0</v>
      </c>
      <c r="AB19" t="inlineStr">
        <is>
          <t>7201051006000600</t>
        </is>
      </c>
      <c r="AC19" t="inlineStr">
        <is>
          <t>SUBMITTED BY Pencacah</t>
        </is>
      </c>
    </row>
    <row r="20">
      <c r="A20" t="inlineStr">
        <is>
          <t>f1fa4a91-b3a7-4916-98d2-afb8bad01925</t>
        </is>
      </c>
      <c r="B20" t="n">
        <v>72</v>
      </c>
      <c r="C20" t="n">
        <v>1</v>
      </c>
      <c r="D20" t="n">
        <v>51</v>
      </c>
      <c r="E20" t="n">
        <v>6</v>
      </c>
      <c r="F20" t="n">
        <v>6</v>
      </c>
      <c r="G20" t="n">
        <v>0</v>
      </c>
      <c r="H20" t="n">
        <v>43516347</v>
      </c>
      <c r="I20" t="n">
        <v>10710</v>
      </c>
      <c r="J20" t="inlineStr">
        <is>
          <t>Industri Produk Bakeri</t>
        </is>
      </c>
      <c r="K20" t="n">
        <v>1283</v>
      </c>
      <c r="L20" t="inlineStr">
        <is>
          <t>Pertanian Pala</t>
        </is>
      </c>
      <c r="M20" t="inlineStr">
        <is>
          <t>PERTANIAN PALA (DARSONO TAMBUAK)</t>
        </is>
      </c>
      <c r="N20" t="inlineStr">
        <is>
          <t>KOMPLEKS PAISUKUDANG, RT 6 DUSUN 3 DESA ALAKASING -</t>
        </is>
      </c>
      <c r="O20" t="inlineStr">
        <is>
          <t>DARSONO TAMBUAK</t>
        </is>
      </c>
      <c r="Q20" t="inlineStr">
        <is>
          <t>2. Baru</t>
        </is>
      </c>
      <c r="R20" t="n">
        <v>2</v>
      </c>
      <c r="V20" t="inlineStr">
        <is>
          <t>Pastikan kode KBLI sesuai dengan kode KBLI cakupan BPOM yang tertera dalam buku Pedoman</t>
        </is>
      </c>
      <c r="W20" t="n">
        <v>0</v>
      </c>
      <c r="AB20" t="inlineStr">
        <is>
          <t>7201051006000600</t>
        </is>
      </c>
      <c r="AC20" t="inlineStr">
        <is>
          <t>APPROVED BY Pengawas</t>
        </is>
      </c>
    </row>
    <row r="21">
      <c r="A21" t="inlineStr">
        <is>
          <t>343314e3-b64d-449f-9314-078d50b2bad9</t>
        </is>
      </c>
      <c r="B21" t="n">
        <v>72</v>
      </c>
      <c r="C21" t="n">
        <v>1</v>
      </c>
      <c r="D21" t="n">
        <v>51</v>
      </c>
      <c r="E21" t="n">
        <v>6</v>
      </c>
      <c r="F21" t="n">
        <v>6</v>
      </c>
      <c r="G21" t="n">
        <v>0</v>
      </c>
      <c r="H21" t="n">
        <v>43516347</v>
      </c>
      <c r="I21" t="n">
        <v>10710</v>
      </c>
      <c r="J21" t="inlineStr">
        <is>
          <t>Industri Produk Bakeri</t>
        </is>
      </c>
      <c r="K21" t="n">
        <v>1261</v>
      </c>
      <c r="L21" t="inlineStr">
        <is>
          <t>Pertanian Kelapa</t>
        </is>
      </c>
      <c r="M21" t="inlineStr">
        <is>
          <t>PERTANIAN KELAPA (NAHRUN NUR PANGE)</t>
        </is>
      </c>
      <c r="N21" t="inlineStr">
        <is>
          <t>KOMPLEKS PAISU -</t>
        </is>
      </c>
      <c r="O21" t="inlineStr">
        <is>
          <t>NAHRUN NUR PANGE</t>
        </is>
      </c>
      <c r="Q21" t="inlineStr">
        <is>
          <t>2. Baru</t>
        </is>
      </c>
      <c r="R21" t="n">
        <v>2</v>
      </c>
      <c r="V21" t="inlineStr">
        <is>
          <t>Pastikan kode KBLI sesuai dengan kode KBLI cakupan BPOM yang tertera dalam buku Pedoman</t>
        </is>
      </c>
      <c r="W21" t="n">
        <v>0</v>
      </c>
      <c r="AB21" t="inlineStr">
        <is>
          <t>7201051006000600</t>
        </is>
      </c>
      <c r="AC21" t="inlineStr">
        <is>
          <t>SUBMITTED BY Pencacah</t>
        </is>
      </c>
    </row>
    <row r="22">
      <c r="A22" t="inlineStr">
        <is>
          <t>17a2abfb-4d95-4e7a-adf7-95eaa537fdcc</t>
        </is>
      </c>
      <c r="B22" t="n">
        <v>72</v>
      </c>
      <c r="C22" t="n">
        <v>1</v>
      </c>
      <c r="D22" t="n">
        <v>51</v>
      </c>
      <c r="E22" t="n">
        <v>6</v>
      </c>
      <c r="F22" t="n">
        <v>6</v>
      </c>
      <c r="G22" t="n">
        <v>0</v>
      </c>
      <c r="H22" t="n">
        <v>43516347</v>
      </c>
      <c r="I22" t="n">
        <v>10710</v>
      </c>
      <c r="J22" t="inlineStr">
        <is>
          <t>Industri Produk Bakeri</t>
        </is>
      </c>
      <c r="K22" t="n">
        <v>1283</v>
      </c>
      <c r="L22" t="inlineStr">
        <is>
          <t>Pertanian Pala</t>
        </is>
      </c>
      <c r="M22" t="inlineStr">
        <is>
          <t>PERTANIAN PALA (JASMAN TAUPO)</t>
        </is>
      </c>
      <c r="N22" t="inlineStr">
        <is>
          <t>PAISU KUDANG, RT 6 DUSUN 3 DESA ALAKASING -</t>
        </is>
      </c>
      <c r="O22" t="inlineStr">
        <is>
          <t>JASMAN TAUPO</t>
        </is>
      </c>
      <c r="Q22" t="inlineStr">
        <is>
          <t>2. Baru</t>
        </is>
      </c>
      <c r="R22" t="n">
        <v>2</v>
      </c>
      <c r="V22" t="inlineStr">
        <is>
          <t>Pastikan kode KBLI sesuai dengan kode KBLI cakupan BPOM yang tertera dalam buku Pedoman</t>
        </is>
      </c>
      <c r="W22" t="n">
        <v>0</v>
      </c>
      <c r="AB22" t="inlineStr">
        <is>
          <t>7201051006000600</t>
        </is>
      </c>
      <c r="AC22" t="inlineStr">
        <is>
          <t>SUBMITTED BY Pencacah</t>
        </is>
      </c>
    </row>
    <row r="23">
      <c r="A23" t="inlineStr">
        <is>
          <t>343314e3-b64d-449f-9314-078d50b2bad9</t>
        </is>
      </c>
      <c r="B23" t="n">
        <v>72</v>
      </c>
      <c r="C23" t="n">
        <v>1</v>
      </c>
      <c r="D23" t="n">
        <v>51</v>
      </c>
      <c r="E23" t="n">
        <v>6</v>
      </c>
      <c r="F23" t="n">
        <v>6</v>
      </c>
      <c r="G23" t="n">
        <v>0</v>
      </c>
      <c r="H23" t="n">
        <v>43516347</v>
      </c>
      <c r="I23" t="n">
        <v>10710</v>
      </c>
      <c r="J23" t="inlineStr">
        <is>
          <t>Industri Produk Bakeri</t>
        </is>
      </c>
      <c r="K23" t="n">
        <v>47112</v>
      </c>
      <c r="L23" t="inlineStr">
        <is>
          <t>Perdagangan Eceran Berbagai Macam Barang yang Utamanya Makanan, Minuman, atau Tembakau Selain dengan Sistem Swalayan</t>
        </is>
      </c>
      <c r="M23" t="inlineStr">
        <is>
          <t>PERDANGAN ECERAN SEMBAKO (NASRIA M. DAPATI)</t>
        </is>
      </c>
      <c r="N23" t="inlineStr">
        <is>
          <t>KOMPLEKS PAISU -</t>
        </is>
      </c>
      <c r="O23" t="inlineStr">
        <is>
          <t>NASRIA M. DAPATI</t>
        </is>
      </c>
      <c r="Q23" t="inlineStr">
        <is>
          <t>2. Baru</t>
        </is>
      </c>
      <c r="R23" t="n">
        <v>2</v>
      </c>
      <c r="V23" t="inlineStr">
        <is>
          <t>Pastikan kode KBLI sesuai dengan kode KBLI cakupan BPOM yang tertera dalam buku Pedoman</t>
        </is>
      </c>
      <c r="W23" t="n">
        <v>1</v>
      </c>
      <c r="AB23" t="inlineStr">
        <is>
          <t>7201051006000600</t>
        </is>
      </c>
      <c r="AC23" t="inlineStr">
        <is>
          <t>SUBMITTED BY Pencacah</t>
        </is>
      </c>
    </row>
    <row r="24">
      <c r="A24" t="inlineStr">
        <is>
          <t>d60e75f7-160f-4e10-aa7a-ef3d0d13d9e5</t>
        </is>
      </c>
      <c r="B24" t="n">
        <v>72</v>
      </c>
      <c r="C24" t="n">
        <v>1</v>
      </c>
      <c r="D24" t="n">
        <v>51</v>
      </c>
      <c r="E24" t="n">
        <v>6</v>
      </c>
      <c r="F24" t="n">
        <v>6</v>
      </c>
      <c r="G24" t="n">
        <v>0</v>
      </c>
      <c r="H24" t="n">
        <v>43516347</v>
      </c>
      <c r="I24" t="n">
        <v>10710</v>
      </c>
      <c r="J24" t="inlineStr">
        <is>
          <t>Industri Produk Bakeri</t>
        </is>
      </c>
      <c r="K24" t="n">
        <v>10421</v>
      </c>
      <c r="L24" t="inlineStr">
        <is>
          <t>Industri Kopra</t>
        </is>
      </c>
      <c r="M24" t="inlineStr">
        <is>
          <t>INDUSTRI KOPRA (HALIKA LOBOSI)</t>
        </is>
      </c>
      <c r="N24" t="inlineStr">
        <is>
          <t>KOMPLEKS PAISU KUDANG RT 6 DUSUN 3 DESA ALAKASING -</t>
        </is>
      </c>
      <c r="O24" t="inlineStr">
        <is>
          <t>HALIKA LOBOSI</t>
        </is>
      </c>
      <c r="Q24" t="inlineStr">
        <is>
          <t>2. Baru</t>
        </is>
      </c>
      <c r="R24" t="n">
        <v>2</v>
      </c>
      <c r="V24" t="inlineStr">
        <is>
          <t>Pastikan kode KBLI sesuai dengan kode KBLI cakupan BPOM yang tertera dalam buku Pedoman</t>
        </is>
      </c>
      <c r="W24" t="n">
        <v>1</v>
      </c>
      <c r="AB24" t="inlineStr">
        <is>
          <t>7201051006000600</t>
        </is>
      </c>
      <c r="AC24" t="inlineStr">
        <is>
          <t>SUBMITTED BY Pencacah</t>
        </is>
      </c>
    </row>
    <row r="25">
      <c r="A25" t="inlineStr">
        <is>
          <t>343314e3-b64d-449f-9314-078d50b2bad9</t>
        </is>
      </c>
      <c r="B25" t="n">
        <v>72</v>
      </c>
      <c r="C25" t="n">
        <v>1</v>
      </c>
      <c r="D25" t="n">
        <v>51</v>
      </c>
      <c r="E25" t="n">
        <v>6</v>
      </c>
      <c r="F25" t="n">
        <v>6</v>
      </c>
      <c r="G25" t="n">
        <v>0</v>
      </c>
      <c r="H25" t="n">
        <v>43516347</v>
      </c>
      <c r="I25" t="n">
        <v>10710</v>
      </c>
      <c r="J25" t="inlineStr">
        <is>
          <t>Industri Produk Bakeri</t>
        </is>
      </c>
      <c r="K25" t="n">
        <v>1131</v>
      </c>
      <c r="L25" t="inlineStr">
        <is>
          <t>Pertanian Sayuran Daun</t>
        </is>
      </c>
      <c r="M25" t="inlineStr">
        <is>
          <t>PERTANIAN HORTIKULTURA SAYURAN (NASRIA M. DAPATI)</t>
        </is>
      </c>
      <c r="N25" t="inlineStr">
        <is>
          <t>KOMPLEKS PAISU -</t>
        </is>
      </c>
      <c r="O25" t="inlineStr">
        <is>
          <t>NASRIA M. DAPATI</t>
        </is>
      </c>
      <c r="Q25" t="inlineStr">
        <is>
          <t>2. Baru</t>
        </is>
      </c>
      <c r="R25" t="n">
        <v>2</v>
      </c>
      <c r="V25" t="inlineStr">
        <is>
          <t>Pastikan kode KBLI sesuai dengan kode KBLI cakupan BPOM yang tertera dalam buku Pedoman</t>
        </is>
      </c>
      <c r="W25" t="n">
        <v>0</v>
      </c>
      <c r="AB25" t="inlineStr">
        <is>
          <t>7201051006000600</t>
        </is>
      </c>
      <c r="AC25" t="inlineStr">
        <is>
          <t>SUBMITTED BY Pencacah</t>
        </is>
      </c>
    </row>
    <row r="26">
      <c r="A26" t="inlineStr">
        <is>
          <t>88e10f32-f3d3-4d40-839b-167787757b4a</t>
        </is>
      </c>
      <c r="B26" t="n">
        <v>72</v>
      </c>
      <c r="C26" t="n">
        <v>1</v>
      </c>
      <c r="D26" t="n">
        <v>51</v>
      </c>
      <c r="E26" t="n">
        <v>6</v>
      </c>
      <c r="F26" t="n">
        <v>6</v>
      </c>
      <c r="G26" t="n">
        <v>0</v>
      </c>
      <c r="H26" t="n">
        <v>43516347</v>
      </c>
      <c r="I26" t="n">
        <v>10710</v>
      </c>
      <c r="J26" t="inlineStr">
        <is>
          <t>Industri Produk Bakeri</t>
        </is>
      </c>
      <c r="K26" t="n">
        <v>1131</v>
      </c>
      <c r="L26" t="inlineStr">
        <is>
          <t>Pertanian Sayuran Daun</t>
        </is>
      </c>
      <c r="M26" t="inlineStr">
        <is>
          <t>PERTANIAN SAYURAN DAUN (RUSMIN)</t>
        </is>
      </c>
      <c r="N26" t="inlineStr">
        <is>
          <t>KOMPLEKS PAISUKUDANG, RT 6 DUSUN 3 DESA ALAKASING. -</t>
        </is>
      </c>
      <c r="O26" t="inlineStr">
        <is>
          <t>RUSMIN SULULING</t>
        </is>
      </c>
      <c r="Q26" t="inlineStr">
        <is>
          <t>2. Baru</t>
        </is>
      </c>
      <c r="R26" t="n">
        <v>2</v>
      </c>
      <c r="V26" t="inlineStr">
        <is>
          <t>Pastikan kode KBLI sesuai dengan kode KBLI cakupan BPOM yang tertera dalam buku Pedoman</t>
        </is>
      </c>
      <c r="W26" t="n">
        <v>0</v>
      </c>
      <c r="AB26" t="inlineStr">
        <is>
          <t>7201051006000600</t>
        </is>
      </c>
      <c r="AC26" t="inlineStr">
        <is>
          <t>APPROVED BY Pengawas</t>
        </is>
      </c>
    </row>
    <row r="27">
      <c r="A27" t="inlineStr">
        <is>
          <t>bc424b50-f573-4256-9005-25d358c4db85</t>
        </is>
      </c>
      <c r="B27" t="n">
        <v>72</v>
      </c>
      <c r="C27" t="n">
        <v>1</v>
      </c>
      <c r="D27" t="n">
        <v>51</v>
      </c>
      <c r="E27" t="n">
        <v>6</v>
      </c>
      <c r="F27" t="n">
        <v>6</v>
      </c>
      <c r="G27" t="n">
        <v>0</v>
      </c>
      <c r="H27" t="n">
        <v>43516347</v>
      </c>
      <c r="I27" t="n">
        <v>10710</v>
      </c>
      <c r="J27" t="inlineStr">
        <is>
          <t>Industri Produk Bakeri</t>
        </is>
      </c>
      <c r="K27" t="n">
        <v>1131</v>
      </c>
      <c r="L27" t="inlineStr">
        <is>
          <t>Pertanian Sayuran Daun</t>
        </is>
      </c>
      <c r="M27" t="inlineStr">
        <is>
          <t>PERTANIAN SAYURAN DAUN (ISRA YAMPUNE)</t>
        </is>
      </c>
      <c r="N27" t="inlineStr">
        <is>
          <t>KOMPLEKS PAISU KUDANG, RT 6 DUSUN 2 DESA ALAKASING</t>
        </is>
      </c>
      <c r="O27" t="inlineStr">
        <is>
          <t>ISRA YAMPUNE</t>
        </is>
      </c>
      <c r="Q27" t="inlineStr">
        <is>
          <t>2. Baru</t>
        </is>
      </c>
      <c r="R27" t="n">
        <v>2</v>
      </c>
      <c r="V27" t="inlineStr">
        <is>
          <t>Pastikan kode KBLI sesuai dengan kode KBLI cakupan BPOM yang tertera dalam buku Pedoman</t>
        </is>
      </c>
      <c r="W27" t="n">
        <v>0</v>
      </c>
      <c r="AB27" t="inlineStr">
        <is>
          <t>7201051006000600</t>
        </is>
      </c>
      <c r="AC27" t="inlineStr">
        <is>
          <t>SUBMITTED BY Pencacah</t>
        </is>
      </c>
    </row>
    <row r="28">
      <c r="A28" t="inlineStr">
        <is>
          <t>1548f250-e2a5-4b78-919a-54fc4f162a85</t>
        </is>
      </c>
      <c r="B28" t="n">
        <v>72</v>
      </c>
      <c r="C28" t="n">
        <v>1</v>
      </c>
      <c r="D28" t="n">
        <v>51</v>
      </c>
      <c r="E28" t="n">
        <v>6</v>
      </c>
      <c r="F28" t="n">
        <v>6</v>
      </c>
      <c r="G28" t="n">
        <v>0</v>
      </c>
      <c r="H28" t="n">
        <v>43516347</v>
      </c>
      <c r="I28" t="n">
        <v>10710</v>
      </c>
      <c r="J28" t="inlineStr">
        <is>
          <t>Industri Produk Bakeri</t>
        </is>
      </c>
      <c r="K28" t="n">
        <v>10421</v>
      </c>
      <c r="L28" t="inlineStr">
        <is>
          <t>Industri Kopra</t>
        </is>
      </c>
      <c r="M28" t="inlineStr">
        <is>
          <t>INDUSTRI KOPRA (RIDWAN PANDAK)</t>
        </is>
      </c>
      <c r="N28" t="inlineStr">
        <is>
          <t>KOMPLEKS PAISU KUDANG, RT 6 DUSUN 3 DESA ALAKASING</t>
        </is>
      </c>
      <c r="O28" t="inlineStr">
        <is>
          <t>RIDWAN PANDAK</t>
        </is>
      </c>
      <c r="Q28" t="inlineStr">
        <is>
          <t>2. Baru</t>
        </is>
      </c>
      <c r="R28" t="n">
        <v>2</v>
      </c>
      <c r="V28" t="inlineStr">
        <is>
          <t>Pastikan kode KBLI sesuai dengan kode KBLI cakupan BPOM yang tertera dalam buku Pedoman</t>
        </is>
      </c>
      <c r="W28" t="n">
        <v>1</v>
      </c>
      <c r="AB28" t="inlineStr">
        <is>
          <t>7201051006000600</t>
        </is>
      </c>
      <c r="AC28" t="inlineStr">
        <is>
          <t>APPROVED BY Pengawas</t>
        </is>
      </c>
    </row>
    <row r="29">
      <c r="A29" t="inlineStr">
        <is>
          <t>1548f250-e2a5-4b78-919a-54fc4f162a85</t>
        </is>
      </c>
      <c r="B29" t="n">
        <v>72</v>
      </c>
      <c r="C29" t="n">
        <v>1</v>
      </c>
      <c r="D29" t="n">
        <v>51</v>
      </c>
      <c r="E29" t="n">
        <v>6</v>
      </c>
      <c r="F29" t="n">
        <v>6</v>
      </c>
      <c r="G29" t="n">
        <v>0</v>
      </c>
      <c r="H29" t="n">
        <v>43516347</v>
      </c>
      <c r="I29" t="n">
        <v>10710</v>
      </c>
      <c r="J29" t="inlineStr">
        <is>
          <t>Industri Produk Bakeri</t>
        </is>
      </c>
      <c r="K29" t="n">
        <v>1261</v>
      </c>
      <c r="L29" t="inlineStr">
        <is>
          <t>Pertanian Kelapa</t>
        </is>
      </c>
      <c r="M29" t="inlineStr">
        <is>
          <t>PERTANIAN KELAPA (RIDWAN PANDAK)</t>
        </is>
      </c>
      <c r="N29" t="inlineStr">
        <is>
          <t>KOMPLEKS PAISU KUDANG, RT 6 DUSUN 3 DESA ALAKASING</t>
        </is>
      </c>
      <c r="O29" t="inlineStr">
        <is>
          <t>RIDWAN PANDAK</t>
        </is>
      </c>
      <c r="Q29" t="inlineStr">
        <is>
          <t>2. Baru</t>
        </is>
      </c>
      <c r="R29" t="n">
        <v>2</v>
      </c>
      <c r="V29" t="inlineStr">
        <is>
          <t>Pastikan kode KBLI sesuai dengan kode KBLI cakupan BPOM yang tertera dalam buku Pedoman</t>
        </is>
      </c>
      <c r="W29" t="n">
        <v>0</v>
      </c>
      <c r="AB29" t="inlineStr">
        <is>
          <t>7201051006000600</t>
        </is>
      </c>
      <c r="AC29" t="inlineStr">
        <is>
          <t>APPROVED BY Pengawas</t>
        </is>
      </c>
    </row>
    <row r="30">
      <c r="A30" t="inlineStr">
        <is>
          <t>d0016af0-0320-4cea-b5fa-a3b56b5c7924</t>
        </is>
      </c>
      <c r="B30" t="n">
        <v>72</v>
      </c>
      <c r="C30" t="n">
        <v>1</v>
      </c>
      <c r="D30" t="n">
        <v>51</v>
      </c>
      <c r="E30" t="n">
        <v>6</v>
      </c>
      <c r="F30" t="n">
        <v>6</v>
      </c>
      <c r="G30" t="n">
        <v>0</v>
      </c>
      <c r="H30" t="n">
        <v>43516347</v>
      </c>
      <c r="I30" t="n">
        <v>10710</v>
      </c>
      <c r="J30" t="inlineStr">
        <is>
          <t>Industri Produk Bakeri</t>
        </is>
      </c>
      <c r="K30" t="n">
        <v>10421</v>
      </c>
      <c r="L30" t="inlineStr">
        <is>
          <t>Industri Kopra</t>
        </is>
      </c>
      <c r="M30" t="inlineStr">
        <is>
          <t>INDUSTRI KOPRA (ASKAR LAMUNI)</t>
        </is>
      </c>
      <c r="N30" t="inlineStr">
        <is>
          <t>DESA ALAKASING -</t>
        </is>
      </c>
      <c r="O30" t="inlineStr">
        <is>
          <t>ASKAR LAMUNI</t>
        </is>
      </c>
      <c r="Q30" t="inlineStr">
        <is>
          <t>2. Baru</t>
        </is>
      </c>
      <c r="R30" t="n">
        <v>2</v>
      </c>
      <c r="V30" t="inlineStr">
        <is>
          <t>Pastikan kode KBLI sesuai dengan kode KBLI cakupan BPOM yang tertera dalam buku Pedoman</t>
        </is>
      </c>
      <c r="W30" t="n">
        <v>1</v>
      </c>
      <c r="AB30" t="inlineStr">
        <is>
          <t>7201051006000600</t>
        </is>
      </c>
      <c r="AC30" t="inlineStr">
        <is>
          <t>SUBMITTED BY Pencacah</t>
        </is>
      </c>
    </row>
    <row r="31">
      <c r="A31" t="inlineStr">
        <is>
          <t>2cc31357-bee6-42bb-b39a-3aa2d5fc8b90</t>
        </is>
      </c>
      <c r="B31" t="n">
        <v>72</v>
      </c>
      <c r="C31" t="n">
        <v>1</v>
      </c>
      <c r="D31" t="n">
        <v>51</v>
      </c>
      <c r="E31" t="n">
        <v>6</v>
      </c>
      <c r="F31" t="n">
        <v>6</v>
      </c>
      <c r="G31" t="n">
        <v>0</v>
      </c>
      <c r="H31" t="n">
        <v>43516347</v>
      </c>
      <c r="I31" t="n">
        <v>10710</v>
      </c>
      <c r="J31" t="inlineStr">
        <is>
          <t>Industri Produk Bakeri</t>
        </is>
      </c>
      <c r="K31" t="n">
        <v>1131</v>
      </c>
      <c r="L31" t="inlineStr">
        <is>
          <t>Pertanian Sayuran Daun</t>
        </is>
      </c>
      <c r="M31" t="inlineStr">
        <is>
          <t>PERTANIAN HORTIKULTURA SAYURAN (SURTIA)</t>
        </is>
      </c>
      <c r="N31" t="inlineStr">
        <is>
          <t>KOMPLEKS PAISU KUDANG, RT 6 DUSUN 3</t>
        </is>
      </c>
      <c r="O31" t="inlineStr">
        <is>
          <t>SURTIA</t>
        </is>
      </c>
      <c r="Q31" t="inlineStr">
        <is>
          <t>2. Baru</t>
        </is>
      </c>
      <c r="R31" t="n">
        <v>2</v>
      </c>
      <c r="V31" t="inlineStr">
        <is>
          <t>Pastikan kode KBLI sesuai dengan kode KBLI cakupan BPOM yang tertera dalam buku Pedoman</t>
        </is>
      </c>
      <c r="W31" t="n">
        <v>0</v>
      </c>
      <c r="AB31" t="inlineStr">
        <is>
          <t>7201051006000600</t>
        </is>
      </c>
      <c r="AC31" t="inlineStr">
        <is>
          <t>APPROVED BY Pengawas</t>
        </is>
      </c>
    </row>
    <row r="32">
      <c r="A32" t="inlineStr">
        <is>
          <t>7ee3acfe-5188-4287-8be9-c3a54c3076b7</t>
        </is>
      </c>
      <c r="B32" t="n">
        <v>72</v>
      </c>
      <c r="C32" t="n">
        <v>1</v>
      </c>
      <c r="D32" t="n">
        <v>51</v>
      </c>
      <c r="E32" t="n">
        <v>6</v>
      </c>
      <c r="F32" t="n">
        <v>6</v>
      </c>
      <c r="G32" t="n">
        <v>0</v>
      </c>
      <c r="H32" t="n">
        <v>43516347</v>
      </c>
      <c r="I32" t="n">
        <v>10710</v>
      </c>
      <c r="J32" t="inlineStr">
        <is>
          <t>Industri Produk Bakeri</t>
        </is>
      </c>
      <c r="K32" t="n">
        <v>1283</v>
      </c>
      <c r="L32" t="inlineStr">
        <is>
          <t>Pertanian Pala</t>
        </is>
      </c>
      <c r="M32" t="inlineStr">
        <is>
          <t>PERTANIAN PALA (ERWIN LALIO)</t>
        </is>
      </c>
      <c r="N32" t="inlineStr">
        <is>
          <t>KOMPLEKS PAISUKUDANG, RT 6 DUSUN 3 ALAKASING -</t>
        </is>
      </c>
      <c r="O32" t="inlineStr">
        <is>
          <t>ERWIN LALIO</t>
        </is>
      </c>
      <c r="Q32" t="inlineStr">
        <is>
          <t>2. Baru</t>
        </is>
      </c>
      <c r="R32" t="n">
        <v>2</v>
      </c>
      <c r="V32" t="inlineStr">
        <is>
          <t>Pastikan kode KBLI sesuai dengan kode KBLI cakupan BPOM yang tertera dalam buku Pedoman</t>
        </is>
      </c>
      <c r="W32" t="n">
        <v>0</v>
      </c>
      <c r="AB32" t="inlineStr">
        <is>
          <t>7201051006000600</t>
        </is>
      </c>
      <c r="AC32" t="inlineStr">
        <is>
          <t>APPROVED BY Pengawas</t>
        </is>
      </c>
    </row>
    <row r="33">
      <c r="A33" t="inlineStr">
        <is>
          <t>36e22b44-4f3d-41ec-baf5-bf6e2dedf891</t>
        </is>
      </c>
      <c r="B33" t="n">
        <v>72</v>
      </c>
      <c r="C33" t="n">
        <v>1</v>
      </c>
      <c r="D33" t="n">
        <v>51</v>
      </c>
      <c r="E33" t="n">
        <v>6</v>
      </c>
      <c r="F33" t="n">
        <v>6</v>
      </c>
      <c r="G33" t="n">
        <v>0</v>
      </c>
      <c r="H33" t="n">
        <v>43516347</v>
      </c>
      <c r="I33" t="n">
        <v>10710</v>
      </c>
      <c r="J33" t="inlineStr">
        <is>
          <t>Industri Produk Bakeri</t>
        </is>
      </c>
      <c r="K33" t="n">
        <v>1131</v>
      </c>
      <c r="L33" t="inlineStr">
        <is>
          <t>Pertanian Sayuran Daun</t>
        </is>
      </c>
      <c r="M33" t="inlineStr">
        <is>
          <t>PERTANIAN SAYURAN DAUN (SAIRA SULULING)</t>
        </is>
      </c>
      <c r="N33" t="inlineStr">
        <is>
          <t>JALAN PAISU KUDANG RT 6 DUSUN 3 DESA ALAKASING -</t>
        </is>
      </c>
      <c r="O33" t="inlineStr">
        <is>
          <t>SAIRA SULULING</t>
        </is>
      </c>
      <c r="Q33" t="inlineStr">
        <is>
          <t>2. Baru</t>
        </is>
      </c>
      <c r="R33" t="n">
        <v>2</v>
      </c>
      <c r="V33" t="inlineStr">
        <is>
          <t>Pastikan kode KBLI sesuai dengan kode KBLI cakupan BPOM yang tertera dalam buku Pedoman</t>
        </is>
      </c>
      <c r="W33" t="n">
        <v>0</v>
      </c>
      <c r="AB33" t="inlineStr">
        <is>
          <t>7201051006000600</t>
        </is>
      </c>
      <c r="AC33" t="inlineStr">
        <is>
          <t>SUBMITTED BY Pencacah</t>
        </is>
      </c>
    </row>
    <row r="34">
      <c r="A34" t="inlineStr">
        <is>
          <t>68bdaef0-4fb3-437c-887b-41e9fe0db32a</t>
        </is>
      </c>
      <c r="B34" t="n">
        <v>72</v>
      </c>
      <c r="C34" t="n">
        <v>1</v>
      </c>
      <c r="D34" t="n">
        <v>51</v>
      </c>
      <c r="E34" t="n">
        <v>6</v>
      </c>
      <c r="F34" t="n">
        <v>6</v>
      </c>
      <c r="G34" t="n">
        <v>0</v>
      </c>
      <c r="H34" t="n">
        <v>43516347</v>
      </c>
      <c r="I34" t="n">
        <v>10710</v>
      </c>
      <c r="J34" t="inlineStr">
        <is>
          <t>Industri Produk Bakeri</t>
        </is>
      </c>
      <c r="K34" t="n">
        <v>10421</v>
      </c>
      <c r="L34" t="inlineStr">
        <is>
          <t>Industri Kopra</t>
        </is>
      </c>
      <c r="M34" t="inlineStr">
        <is>
          <t>INDUSTRI KOPRA (PAJIN MAMUA)</t>
        </is>
      </c>
      <c r="N34" t="inlineStr">
        <is>
          <t>KOMPLEKS PAISU KUDANG, RT 6 DUSUN 3 DESA ALAKASING -</t>
        </is>
      </c>
      <c r="O34" t="inlineStr">
        <is>
          <t>PAJIN MAMUA</t>
        </is>
      </c>
      <c r="Q34" t="inlineStr">
        <is>
          <t>2. Baru</t>
        </is>
      </c>
      <c r="R34" t="n">
        <v>2</v>
      </c>
      <c r="V34" t="inlineStr">
        <is>
          <t>Pastikan kode KBLI sesuai dengan kode KBLI cakupan BPOM yang tertera dalam buku Pedoman</t>
        </is>
      </c>
      <c r="W34" t="n">
        <v>1</v>
      </c>
      <c r="AB34" t="inlineStr">
        <is>
          <t>7201051006000600</t>
        </is>
      </c>
      <c r="AC34" t="inlineStr">
        <is>
          <t>APPROVED BY Pengawas</t>
        </is>
      </c>
    </row>
    <row r="35">
      <c r="A35" t="inlineStr">
        <is>
          <t>59d346e7-0b05-497a-8522-4ce1a2325b9b</t>
        </is>
      </c>
      <c r="B35" t="n">
        <v>72</v>
      </c>
      <c r="C35" t="n">
        <v>1</v>
      </c>
      <c r="D35" t="n">
        <v>51</v>
      </c>
      <c r="E35" t="n">
        <v>6</v>
      </c>
      <c r="F35" t="n">
        <v>6</v>
      </c>
      <c r="G35" t="n">
        <v>0</v>
      </c>
      <c r="H35" t="n">
        <v>43516347</v>
      </c>
      <c r="I35" t="n">
        <v>10710</v>
      </c>
      <c r="J35" t="inlineStr">
        <is>
          <t>Industri Produk Bakeri</t>
        </is>
      </c>
      <c r="K35" t="n">
        <v>10421</v>
      </c>
      <c r="L35" t="inlineStr">
        <is>
          <t>Industri Kopra</t>
        </is>
      </c>
      <c r="M35" t="inlineStr">
        <is>
          <t>INDUSTRI KOPRA (MURNI BELEK)</t>
        </is>
      </c>
      <c r="N35" t="inlineStr">
        <is>
          <t>JALAN TRANS PELING RT 6 DUSUN 3 DESA ALAKASING -</t>
        </is>
      </c>
      <c r="O35" t="inlineStr">
        <is>
          <t>MURNI BELEK</t>
        </is>
      </c>
      <c r="Q35" t="inlineStr">
        <is>
          <t>2. Baru</t>
        </is>
      </c>
      <c r="R35" t="n">
        <v>2</v>
      </c>
      <c r="V35" t="inlineStr">
        <is>
          <t>Pastikan kode KBLI sesuai dengan kode KBLI cakupan BPOM yang tertera dalam buku Pedoman</t>
        </is>
      </c>
      <c r="W35" t="n">
        <v>1</v>
      </c>
      <c r="AB35" t="inlineStr">
        <is>
          <t>7201051006000600</t>
        </is>
      </c>
      <c r="AC35" t="inlineStr">
        <is>
          <t>APPROVED BY Pengawas</t>
        </is>
      </c>
    </row>
    <row r="36">
      <c r="A36" t="inlineStr">
        <is>
          <t>e5959161-2da3-4b5b-89e0-fa43e59cd828</t>
        </is>
      </c>
      <c r="B36" t="n">
        <v>72</v>
      </c>
      <c r="C36" t="n">
        <v>1</v>
      </c>
      <c r="D36" t="n">
        <v>51</v>
      </c>
      <c r="E36" t="n">
        <v>6</v>
      </c>
      <c r="F36" t="n">
        <v>6</v>
      </c>
      <c r="G36" t="n">
        <v>0</v>
      </c>
      <c r="H36" t="n">
        <v>43516347</v>
      </c>
      <c r="I36" t="n">
        <v>10710</v>
      </c>
      <c r="J36" t="inlineStr">
        <is>
          <t>Industri Produk Bakeri</t>
        </is>
      </c>
      <c r="K36" t="n">
        <v>95320</v>
      </c>
      <c r="L36" t="inlineStr">
        <is>
          <t>Reparasi dan Perawatan Sepeda Motor</t>
        </is>
      </c>
      <c r="M36" t="inlineStr">
        <is>
          <t xml:space="preserve">BENGKEL ATIS </t>
        </is>
      </c>
      <c r="N36" t="inlineStr">
        <is>
          <t>KOMPLEKS PAISU KUDANG</t>
        </is>
      </c>
      <c r="P36" t="inlineStr">
        <is>
          <t>7207**********01</t>
        </is>
      </c>
      <c r="Q36" t="inlineStr">
        <is>
          <t>2. Baru</t>
        </is>
      </c>
      <c r="R36" t="n">
        <v>2</v>
      </c>
      <c r="V36" t="inlineStr">
        <is>
          <t>Pastikan kode KBLI sesuai dengan kode KBLI cakupan BPOM yang tertera dalam buku Pedoman</t>
        </is>
      </c>
      <c r="W36" t="n">
        <v>0</v>
      </c>
      <c r="AB36" t="inlineStr">
        <is>
          <t>7201051006000600</t>
        </is>
      </c>
      <c r="AC36" t="inlineStr">
        <is>
          <t>APPROVED BY Pengawas</t>
        </is>
      </c>
    </row>
    <row r="37">
      <c r="A37" t="inlineStr">
        <is>
          <t>36e22b44-4f3d-41ec-baf5-bf6e2dedf891</t>
        </is>
      </c>
      <c r="B37" t="n">
        <v>72</v>
      </c>
      <c r="C37" t="n">
        <v>1</v>
      </c>
      <c r="D37" t="n">
        <v>51</v>
      </c>
      <c r="E37" t="n">
        <v>6</v>
      </c>
      <c r="F37" t="n">
        <v>6</v>
      </c>
      <c r="G37" t="n">
        <v>0</v>
      </c>
      <c r="H37" t="n">
        <v>43516347</v>
      </c>
      <c r="I37" t="n">
        <v>10710</v>
      </c>
      <c r="J37" t="inlineStr">
        <is>
          <t>Industri Produk Bakeri</t>
        </is>
      </c>
      <c r="K37" t="n">
        <v>10421</v>
      </c>
      <c r="L37" t="inlineStr">
        <is>
          <t>Industri Kopra</t>
        </is>
      </c>
      <c r="M37" t="inlineStr">
        <is>
          <t>INDUSTRI KOPRA (HUDIN S. SULULING)</t>
        </is>
      </c>
      <c r="N37" t="inlineStr">
        <is>
          <t>JALAN PAISU KUDANG RT 6 DUSUN 3 DESA ALAKASING -</t>
        </is>
      </c>
      <c r="O37" t="inlineStr">
        <is>
          <t>HUDIN S. SULULING</t>
        </is>
      </c>
      <c r="Q37" t="inlineStr">
        <is>
          <t>2. Baru</t>
        </is>
      </c>
      <c r="R37" t="n">
        <v>2</v>
      </c>
      <c r="V37" t="inlineStr">
        <is>
          <t>Pastikan kode KBLI sesuai dengan kode KBLI cakupan BPOM yang tertera dalam buku Pedoman</t>
        </is>
      </c>
      <c r="W37" t="n">
        <v>1</v>
      </c>
      <c r="AB37" t="inlineStr">
        <is>
          <t>7201051006000600</t>
        </is>
      </c>
      <c r="AC37" t="inlineStr">
        <is>
          <t>SUBMITTED BY Pencacah</t>
        </is>
      </c>
    </row>
    <row r="38">
      <c r="A38" t="inlineStr">
        <is>
          <t>59d346e7-0b05-497a-8522-4ce1a2325b9b</t>
        </is>
      </c>
      <c r="B38" t="n">
        <v>72</v>
      </c>
      <c r="C38" t="n">
        <v>1</v>
      </c>
      <c r="D38" t="n">
        <v>51</v>
      </c>
      <c r="E38" t="n">
        <v>6</v>
      </c>
      <c r="F38" t="n">
        <v>6</v>
      </c>
      <c r="G38" t="n">
        <v>0</v>
      </c>
      <c r="H38" t="n">
        <v>43516347</v>
      </c>
      <c r="I38" t="n">
        <v>10710</v>
      </c>
      <c r="J38" t="inlineStr">
        <is>
          <t>Industri Produk Bakeri</t>
        </is>
      </c>
      <c r="K38" t="n">
        <v>1261</v>
      </c>
      <c r="L38" t="inlineStr">
        <is>
          <t>Pertanian Kelapa</t>
        </is>
      </c>
      <c r="M38" t="inlineStr">
        <is>
          <t>PERTANIAN KELAPA (MURNI BELEK)</t>
        </is>
      </c>
      <c r="N38" t="inlineStr">
        <is>
          <t>JALAN TRANS PELING RT 6 DUSUN 3 DESA ALAKASING -</t>
        </is>
      </c>
      <c r="O38" t="inlineStr">
        <is>
          <t>MURNI BELEK</t>
        </is>
      </c>
      <c r="Q38" t="inlineStr">
        <is>
          <t>2. Baru</t>
        </is>
      </c>
      <c r="R38" t="n">
        <v>2</v>
      </c>
      <c r="V38" t="inlineStr">
        <is>
          <t>Pastikan kode KBLI sesuai dengan kode KBLI cakupan BPOM yang tertera dalam buku Pedoman</t>
        </is>
      </c>
      <c r="W38" t="n">
        <v>0</v>
      </c>
      <c r="AB38" t="inlineStr">
        <is>
          <t>7201051006000600</t>
        </is>
      </c>
      <c r="AC38" t="inlineStr">
        <is>
          <t>APPROVED BY Pengawas</t>
        </is>
      </c>
    </row>
    <row r="39">
      <c r="A39" t="inlineStr">
        <is>
          <t>7ee3acfe-5188-4287-8be9-c3a54c3076b7</t>
        </is>
      </c>
      <c r="B39" t="n">
        <v>72</v>
      </c>
      <c r="C39" t="n">
        <v>1</v>
      </c>
      <c r="D39" t="n">
        <v>51</v>
      </c>
      <c r="E39" t="n">
        <v>6</v>
      </c>
      <c r="F39" t="n">
        <v>6</v>
      </c>
      <c r="G39" t="n">
        <v>0</v>
      </c>
      <c r="H39" t="n">
        <v>43516347</v>
      </c>
      <c r="I39" t="n">
        <v>10710</v>
      </c>
      <c r="J39" t="inlineStr">
        <is>
          <t>Industri Produk Bakeri</t>
        </is>
      </c>
      <c r="K39" t="n">
        <v>10421</v>
      </c>
      <c r="L39" t="inlineStr">
        <is>
          <t>Industri Kopra</t>
        </is>
      </c>
      <c r="M39" t="inlineStr">
        <is>
          <t>INDUSTRI KOPRA (ERWIN LALIO)</t>
        </is>
      </c>
      <c r="N39" t="inlineStr">
        <is>
          <t>KOMPLEKS PAISUKUDANG, RT 6 DUSUN 3 ALAKASING -</t>
        </is>
      </c>
      <c r="O39" t="inlineStr">
        <is>
          <t>ERWIN LALIO</t>
        </is>
      </c>
      <c r="Q39" t="inlineStr">
        <is>
          <t>2. Baru</t>
        </is>
      </c>
      <c r="R39" t="n">
        <v>2</v>
      </c>
      <c r="V39" t="inlineStr">
        <is>
          <t>Pastikan kode KBLI sesuai dengan kode KBLI cakupan BPOM yang tertera dalam buku Pedoman</t>
        </is>
      </c>
      <c r="W39" t="n">
        <v>1</v>
      </c>
      <c r="AB39" t="inlineStr">
        <is>
          <t>7201051006000600</t>
        </is>
      </c>
      <c r="AC39" t="inlineStr">
        <is>
          <t>APPROVED BY Pengawas</t>
        </is>
      </c>
    </row>
    <row r="40">
      <c r="A40" t="inlineStr">
        <is>
          <t>f1746b9c-e0eb-4d70-b45d-efc67718e2ba</t>
        </is>
      </c>
      <c r="B40" t="n">
        <v>72</v>
      </c>
      <c r="C40" t="n">
        <v>1</v>
      </c>
      <c r="D40" t="n">
        <v>51</v>
      </c>
      <c r="E40" t="n">
        <v>6</v>
      </c>
      <c r="F40" t="n">
        <v>6</v>
      </c>
      <c r="G40" t="n">
        <v>0</v>
      </c>
      <c r="H40" t="n">
        <v>43516347</v>
      </c>
      <c r="I40" t="n">
        <v>10710</v>
      </c>
      <c r="J40" t="inlineStr">
        <is>
          <t>Industri Produk Bakeri</t>
        </is>
      </c>
      <c r="M40" t="inlineStr">
        <is>
          <t>NASRIA M. DAPATI</t>
        </is>
      </c>
      <c r="N40" t="inlineStr">
        <is>
          <t>DESA ALAKASING</t>
        </is>
      </c>
      <c r="Q40" t="inlineStr">
        <is>
          <t>0. Tidak Ditemukan</t>
        </is>
      </c>
      <c r="R40" t="n">
        <v>0</v>
      </c>
      <c r="V40" t="inlineStr">
        <is>
          <t>Pastikan sesuai kondisi lapangan</t>
        </is>
      </c>
      <c r="W40" t="n">
        <v>0</v>
      </c>
      <c r="AB40" t="inlineStr">
        <is>
          <t>7201051006000600</t>
        </is>
      </c>
      <c r="AC40" t="inlineStr">
        <is>
          <t>APPROVED BY Pengawas</t>
        </is>
      </c>
    </row>
    <row r="41">
      <c r="A41" t="inlineStr">
        <is>
          <t>1f860029-ee7f-4bb4-805e-8536ae6ff3bc</t>
        </is>
      </c>
      <c r="B41" t="n">
        <v>72</v>
      </c>
      <c r="C41" t="n">
        <v>1</v>
      </c>
      <c r="D41" t="n">
        <v>51</v>
      </c>
      <c r="E41" t="n">
        <v>6</v>
      </c>
      <c r="F41" t="n">
        <v>6</v>
      </c>
      <c r="G41" t="n">
        <v>0</v>
      </c>
      <c r="H41" t="n">
        <v>43516347</v>
      </c>
      <c r="I41" t="n">
        <v>10710</v>
      </c>
      <c r="J41" t="inlineStr">
        <is>
          <t>Industri Produk Bakeri</t>
        </is>
      </c>
      <c r="K41" t="n">
        <v>10421</v>
      </c>
      <c r="L41" t="inlineStr">
        <is>
          <t>Industri Kopra</t>
        </is>
      </c>
      <c r="M41" t="inlineStr">
        <is>
          <t>INDUSTRI KOPRA (AFRUDIN)</t>
        </is>
      </c>
      <c r="N41" t="inlineStr">
        <is>
          <t>KOMPLEKS PAISU KUDANG, RT 6 DUSUN 3 DESA ALAKASING -</t>
        </is>
      </c>
      <c r="O41" t="inlineStr">
        <is>
          <t>AFRUDDIN</t>
        </is>
      </c>
      <c r="Q41" t="inlineStr">
        <is>
          <t>2. Baru</t>
        </is>
      </c>
      <c r="R41" t="n">
        <v>2</v>
      </c>
      <c r="V41" t="inlineStr">
        <is>
          <t>Pastikan kode KBLI sesuai dengan kode KBLI cakupan BPOM yang tertera dalam buku Pedoman</t>
        </is>
      </c>
      <c r="W41" t="n">
        <v>1</v>
      </c>
      <c r="AB41" t="inlineStr">
        <is>
          <t>7201051006000600</t>
        </is>
      </c>
      <c r="AC41" t="inlineStr">
        <is>
          <t>APPROVED BY Pengawas</t>
        </is>
      </c>
    </row>
    <row r="42">
      <c r="A42" t="inlineStr">
        <is>
          <t>8ff8bd3d-96a5-40ab-9eb1-471cc4503487</t>
        </is>
      </c>
      <c r="B42" t="n">
        <v>72</v>
      </c>
      <c r="C42" t="n">
        <v>1</v>
      </c>
      <c r="D42" t="n">
        <v>51</v>
      </c>
      <c r="E42" t="n">
        <v>6</v>
      </c>
      <c r="F42" t="n">
        <v>6</v>
      </c>
      <c r="G42" t="n">
        <v>0</v>
      </c>
      <c r="H42" t="n">
        <v>43516347</v>
      </c>
      <c r="I42" t="n">
        <v>10710</v>
      </c>
      <c r="J42" t="inlineStr">
        <is>
          <t>Industri Produk Bakeri</t>
        </is>
      </c>
      <c r="K42" t="n">
        <v>10421</v>
      </c>
      <c r="L42" t="inlineStr">
        <is>
          <t>Industri Kopra</t>
        </is>
      </c>
      <c r="M42" t="inlineStr">
        <is>
          <t>INDUSTRI KOPRA (SALAM TAMBUAK)</t>
        </is>
      </c>
      <c r="N42" t="inlineStr">
        <is>
          <t>KOMPLEKS PAISU KUDANG RT 6 DUSUN 3, DESA ALAKASING</t>
        </is>
      </c>
      <c r="O42" t="inlineStr">
        <is>
          <t>SALAM TAMBUAK</t>
        </is>
      </c>
      <c r="Q42" t="inlineStr">
        <is>
          <t>2. Baru</t>
        </is>
      </c>
      <c r="R42" t="n">
        <v>2</v>
      </c>
      <c r="V42" t="inlineStr">
        <is>
          <t>Pastikan kode KBLI sesuai dengan kode KBLI cakupan BPOM yang tertera dalam buku Pedoman</t>
        </is>
      </c>
      <c r="W42" t="n">
        <v>1</v>
      </c>
      <c r="AB42" t="inlineStr">
        <is>
          <t>7201051006000600</t>
        </is>
      </c>
      <c r="AC42" t="inlineStr">
        <is>
          <t>SUBMITTED BY Pencacah</t>
        </is>
      </c>
    </row>
    <row r="43">
      <c r="A43" t="inlineStr">
        <is>
          <t>156d67aa-2d27-47e9-8c00-ddf939ec5298</t>
        </is>
      </c>
      <c r="B43" t="n">
        <v>72</v>
      </c>
      <c r="C43" t="n">
        <v>1</v>
      </c>
      <c r="D43" t="n">
        <v>51</v>
      </c>
      <c r="E43" t="n">
        <v>6</v>
      </c>
      <c r="F43" t="n">
        <v>6</v>
      </c>
      <c r="G43" t="n">
        <v>0</v>
      </c>
      <c r="H43" t="n">
        <v>43516347</v>
      </c>
      <c r="I43" t="n">
        <v>10710</v>
      </c>
      <c r="J43" t="inlineStr">
        <is>
          <t>Industri Produk Bakeri</t>
        </is>
      </c>
      <c r="K43" t="n">
        <v>1131</v>
      </c>
      <c r="L43" t="inlineStr">
        <is>
          <t>Pertanian Sayuran Daun</t>
        </is>
      </c>
      <c r="M43" t="inlineStr">
        <is>
          <t>PERTANIAN SAYURAN DAUN (ROSMAWATI)</t>
        </is>
      </c>
      <c r="N43" t="inlineStr">
        <is>
          <t>KOMPLEK PAISU KUDANG, RT 6 DUSUN 3 DESA ALAKASING -</t>
        </is>
      </c>
      <c r="O43" t="inlineStr">
        <is>
          <t>ROSMAWATI U. LAHANURU</t>
        </is>
      </c>
      <c r="Q43" t="inlineStr">
        <is>
          <t>2. Baru</t>
        </is>
      </c>
      <c r="R43" t="n">
        <v>2</v>
      </c>
      <c r="V43" t="inlineStr">
        <is>
          <t>Pastikan kode KBLI sesuai dengan kode KBLI cakupan BPOM yang tertera dalam buku Pedoman</t>
        </is>
      </c>
      <c r="W43" t="n">
        <v>0</v>
      </c>
      <c r="AB43" t="inlineStr">
        <is>
          <t>7201051006000600</t>
        </is>
      </c>
      <c r="AC43" t="inlineStr">
        <is>
          <t>SUBMITTED BY Pencacah</t>
        </is>
      </c>
    </row>
    <row r="44">
      <c r="A44" t="inlineStr">
        <is>
          <t>8eb17a8e-10b2-4fb3-aea5-e79cea6b4d5e</t>
        </is>
      </c>
      <c r="B44" t="n">
        <v>72</v>
      </c>
      <c r="C44" t="n">
        <v>1</v>
      </c>
      <c r="D44" t="n">
        <v>51</v>
      </c>
      <c r="E44" t="n">
        <v>6</v>
      </c>
      <c r="F44" t="n">
        <v>6</v>
      </c>
      <c r="G44" t="n">
        <v>0</v>
      </c>
      <c r="H44" t="n">
        <v>43516347</v>
      </c>
      <c r="I44" t="n">
        <v>10710</v>
      </c>
      <c r="J44" t="inlineStr">
        <is>
          <t>Industri Produk Bakeri</t>
        </is>
      </c>
      <c r="K44" t="n">
        <v>23921</v>
      </c>
      <c r="L44" t="inlineStr">
        <is>
          <t>Industri Batu Bata dari Tanah Liat atau Keramik</t>
        </is>
      </c>
      <c r="M44" t="inlineStr">
        <is>
          <t>INDUSTRI BATU BATA (SAHRIN DADONG)</t>
        </is>
      </c>
      <c r="N44" t="inlineStr">
        <is>
          <t>KOMPLEKS PAISU KUDANG -</t>
        </is>
      </c>
      <c r="O44" t="inlineStr">
        <is>
          <t>SAHRIN DADONG</t>
        </is>
      </c>
      <c r="Q44" t="inlineStr">
        <is>
          <t>2. Baru</t>
        </is>
      </c>
      <c r="R44" t="n">
        <v>2</v>
      </c>
      <c r="V44" t="inlineStr">
        <is>
          <t>Pastikan kode KBLI sesuai dengan kode KBLI cakupan BPOM yang tertera dalam buku Pedoman</t>
        </is>
      </c>
      <c r="W44" t="n">
        <v>0</v>
      </c>
      <c r="AB44" t="inlineStr">
        <is>
          <t>7201051006000600</t>
        </is>
      </c>
      <c r="AC44" t="inlineStr">
        <is>
          <t>SUBMITTED BY Pencacah</t>
        </is>
      </c>
    </row>
    <row r="45">
      <c r="A45" t="inlineStr">
        <is>
          <t>8ff8bd3d-96a5-40ab-9eb1-471cc4503487</t>
        </is>
      </c>
      <c r="B45" t="n">
        <v>72</v>
      </c>
      <c r="C45" t="n">
        <v>1</v>
      </c>
      <c r="D45" t="n">
        <v>51</v>
      </c>
      <c r="E45" t="n">
        <v>6</v>
      </c>
      <c r="F45" t="n">
        <v>6</v>
      </c>
      <c r="G45" t="n">
        <v>0</v>
      </c>
      <c r="H45" t="n">
        <v>43516347</v>
      </c>
      <c r="I45" t="n">
        <v>10710</v>
      </c>
      <c r="J45" t="inlineStr">
        <is>
          <t>Industri Produk Bakeri</t>
        </is>
      </c>
      <c r="K45" t="n">
        <v>1131</v>
      </c>
      <c r="L45" t="inlineStr">
        <is>
          <t>Pertanian Sayuran Daun</t>
        </is>
      </c>
      <c r="M45" t="inlineStr">
        <is>
          <t>PERTANIAN SAYURAN DAUN (NINO SALABA)</t>
        </is>
      </c>
      <c r="N45" t="inlineStr">
        <is>
          <t>KOMPLEKS PAISU KUDANG RT 6 DUSUN 3, DESA ALAKASING</t>
        </is>
      </c>
      <c r="O45" t="inlineStr">
        <is>
          <t>NINO SALABA</t>
        </is>
      </c>
      <c r="Q45" t="inlineStr">
        <is>
          <t>2. Baru</t>
        </is>
      </c>
      <c r="R45" t="n">
        <v>2</v>
      </c>
      <c r="V45" t="inlineStr">
        <is>
          <t>Pastikan kode KBLI sesuai dengan kode KBLI cakupan BPOM yang tertera dalam buku Pedoman</t>
        </is>
      </c>
      <c r="W45" t="n">
        <v>0</v>
      </c>
      <c r="AB45" t="inlineStr">
        <is>
          <t>7201051006000600</t>
        </is>
      </c>
      <c r="AC45" t="inlineStr">
        <is>
          <t>SUBMITTED BY Pencacah</t>
        </is>
      </c>
    </row>
    <row r="46">
      <c r="A46" t="inlineStr">
        <is>
          <t>12c1f3d1-fef7-4db0-a243-8bc7e196c885</t>
        </is>
      </c>
      <c r="B46" t="n">
        <v>72</v>
      </c>
      <c r="C46" t="n">
        <v>1</v>
      </c>
      <c r="D46" t="n">
        <v>51</v>
      </c>
      <c r="E46" t="n">
        <v>6</v>
      </c>
      <c r="F46" t="n">
        <v>6</v>
      </c>
      <c r="G46" t="n">
        <v>0</v>
      </c>
      <c r="H46" t="n">
        <v>43516347</v>
      </c>
      <c r="I46" t="n">
        <v>10710</v>
      </c>
      <c r="J46" t="inlineStr">
        <is>
          <t>Industri Produk Bakeri</t>
        </is>
      </c>
      <c r="K46" t="n">
        <v>10421</v>
      </c>
      <c r="L46" t="inlineStr">
        <is>
          <t>Industri Kopra</t>
        </is>
      </c>
      <c r="M46" t="inlineStr">
        <is>
          <t>INDUSTRI KOPRA (ARIPUDIN A NDIBA)</t>
        </is>
      </c>
      <c r="N46" t="inlineStr">
        <is>
          <t>KOMPLEKS PAISUKUDANG, RT 6 DUSUN 3 -</t>
        </is>
      </c>
      <c r="O46" t="inlineStr">
        <is>
          <t>ARIPUDIN A. NDIBA</t>
        </is>
      </c>
      <c r="Q46" t="inlineStr">
        <is>
          <t>2. Baru</t>
        </is>
      </c>
      <c r="R46" t="n">
        <v>2</v>
      </c>
      <c r="V46" t="inlineStr">
        <is>
          <t>Pastikan kode KBLI sesuai dengan kode KBLI cakupan BPOM yang tertera dalam buku Pedoman</t>
        </is>
      </c>
      <c r="W46" t="n">
        <v>1</v>
      </c>
      <c r="AB46" t="inlineStr">
        <is>
          <t>7201051006000600</t>
        </is>
      </c>
      <c r="AC46" t="inlineStr">
        <is>
          <t>APPROVED BY Pengawas</t>
        </is>
      </c>
    </row>
    <row r="47">
      <c r="A47" t="inlineStr">
        <is>
          <t>12c1f3d1-fef7-4db0-a243-8bc7e196c885</t>
        </is>
      </c>
      <c r="B47" t="n">
        <v>72</v>
      </c>
      <c r="C47" t="n">
        <v>1</v>
      </c>
      <c r="D47" t="n">
        <v>51</v>
      </c>
      <c r="E47" t="n">
        <v>6</v>
      </c>
      <c r="F47" t="n">
        <v>6</v>
      </c>
      <c r="G47" t="n">
        <v>0</v>
      </c>
      <c r="H47" t="n">
        <v>43516347</v>
      </c>
      <c r="I47" t="n">
        <v>10710</v>
      </c>
      <c r="J47" t="inlineStr">
        <is>
          <t>Industri Produk Bakeri</t>
        </is>
      </c>
      <c r="K47" t="n">
        <v>1261</v>
      </c>
      <c r="L47" t="inlineStr">
        <is>
          <t>Pertanian Kelapa</t>
        </is>
      </c>
      <c r="M47" t="inlineStr">
        <is>
          <t>PERTANIAN KELAPA (ARIPUDIN A. NDIBA)</t>
        </is>
      </c>
      <c r="N47" t="inlineStr">
        <is>
          <t>KOMPLEKS PAISUKUDANG, RT 6 DUSUN 3</t>
        </is>
      </c>
      <c r="O47" t="inlineStr">
        <is>
          <t>ARIPUDIN A. NDIBA</t>
        </is>
      </c>
      <c r="Q47" t="inlineStr">
        <is>
          <t>2. Baru</t>
        </is>
      </c>
      <c r="R47" t="n">
        <v>2</v>
      </c>
      <c r="V47" t="inlineStr">
        <is>
          <t>Pastikan kode KBLI sesuai dengan kode KBLI cakupan BPOM yang tertera dalam buku Pedoman</t>
        </is>
      </c>
      <c r="W47" t="n">
        <v>0</v>
      </c>
      <c r="AB47" t="inlineStr">
        <is>
          <t>7201051006000600</t>
        </is>
      </c>
      <c r="AC47" t="inlineStr">
        <is>
          <t>APPROVED BY Pengawas</t>
        </is>
      </c>
    </row>
    <row r="48">
      <c r="A48" t="inlineStr">
        <is>
          <t>2d63cdf5-68eb-43e8-a6d7-2f218fefe4af</t>
        </is>
      </c>
      <c r="B48" t="n">
        <v>72</v>
      </c>
      <c r="C48" t="n">
        <v>1</v>
      </c>
      <c r="D48" t="n">
        <v>51</v>
      </c>
      <c r="E48" t="n">
        <v>6</v>
      </c>
      <c r="F48" t="n">
        <v>6</v>
      </c>
      <c r="G48" t="n">
        <v>0</v>
      </c>
      <c r="H48" t="n">
        <v>43516347</v>
      </c>
      <c r="I48" t="n">
        <v>10710</v>
      </c>
      <c r="J48" t="inlineStr">
        <is>
          <t>Industri Produk Bakeri</t>
        </is>
      </c>
      <c r="K48" t="n">
        <v>10421</v>
      </c>
      <c r="L48" t="inlineStr">
        <is>
          <t>Industri Kopra</t>
        </is>
      </c>
      <c r="M48" t="inlineStr">
        <is>
          <t>INDUSTRI KOPRA (NASIA)</t>
        </is>
      </c>
      <c r="N48" t="inlineStr">
        <is>
          <t>KOMPLEKS PAISU KUDANG, RT 6 DUSUN 3 DESA ALAKASING -</t>
        </is>
      </c>
      <c r="O48" t="inlineStr">
        <is>
          <t>NASIA</t>
        </is>
      </c>
      <c r="Q48" t="inlineStr">
        <is>
          <t>2. Baru</t>
        </is>
      </c>
      <c r="R48" t="n">
        <v>2</v>
      </c>
      <c r="V48" t="inlineStr">
        <is>
          <t>Pastikan kode KBLI sesuai dengan kode KBLI cakupan BPOM yang tertera dalam buku Pedoman</t>
        </is>
      </c>
      <c r="W48" t="n">
        <v>1</v>
      </c>
      <c r="AB48" t="inlineStr">
        <is>
          <t>7201051006000600</t>
        </is>
      </c>
      <c r="AC48" t="inlineStr">
        <is>
          <t>APPROVED BY Pengawas</t>
        </is>
      </c>
    </row>
    <row r="49">
      <c r="A49" t="inlineStr">
        <is>
          <t>a7a72995-12e2-4a57-8f11-8c02940e2734</t>
        </is>
      </c>
      <c r="B49" t="n">
        <v>72</v>
      </c>
      <c r="C49" t="n">
        <v>1</v>
      </c>
      <c r="D49" t="n">
        <v>51</v>
      </c>
      <c r="E49" t="n">
        <v>6</v>
      </c>
      <c r="F49" t="n">
        <v>6</v>
      </c>
      <c r="G49" t="n">
        <v>0</v>
      </c>
      <c r="H49" t="n">
        <v>43516347</v>
      </c>
      <c r="I49" t="n">
        <v>10710</v>
      </c>
      <c r="J49" t="inlineStr">
        <is>
          <t>Industri Produk Bakeri</t>
        </is>
      </c>
      <c r="K49" t="n">
        <v>47742</v>
      </c>
      <c r="L49" t="inlineStr">
        <is>
          <t>Perdagangan Eceran Pakaian, Alas Kaki, dan Perlengkapan Pakaian Bekas</t>
        </is>
      </c>
      <c r="M49" t="inlineStr">
        <is>
          <t>PERDAGANGAN ECERAN PAKAIAN (FAJAR)</t>
        </is>
      </c>
      <c r="N49" t="inlineStr">
        <is>
          <t>KOMPLEKS PAISU KUDANG RT 6 DUSUN 3 DESA ALAKASING -</t>
        </is>
      </c>
      <c r="O49" t="inlineStr">
        <is>
          <t>FAJAR</t>
        </is>
      </c>
      <c r="Q49" t="inlineStr">
        <is>
          <t>2. Baru</t>
        </is>
      </c>
      <c r="R49" t="n">
        <v>2</v>
      </c>
      <c r="V49" t="inlineStr">
        <is>
          <t>Pastikan kode KBLI sesuai dengan kode KBLI cakupan BPOM yang tertera dalam buku Pedoman</t>
        </is>
      </c>
      <c r="W49" t="n">
        <v>0</v>
      </c>
      <c r="AB49" t="inlineStr">
        <is>
          <t>7201051006000600</t>
        </is>
      </c>
      <c r="AC49" t="inlineStr">
        <is>
          <t>APPROVED BY Pengawas</t>
        </is>
      </c>
    </row>
    <row r="50">
      <c r="A50" t="inlineStr">
        <is>
          <t>5096590e-1207-4bb7-8cf3-b093bc31cd1f</t>
        </is>
      </c>
      <c r="B50" t="n">
        <v>72</v>
      </c>
      <c r="C50" t="n">
        <v>1</v>
      </c>
      <c r="D50" t="n">
        <v>51</v>
      </c>
      <c r="E50" t="n">
        <v>6</v>
      </c>
      <c r="F50" t="n">
        <v>6</v>
      </c>
      <c r="G50" t="n">
        <v>0</v>
      </c>
      <c r="H50" t="n">
        <v>43516347</v>
      </c>
      <c r="I50" t="n">
        <v>10710</v>
      </c>
      <c r="J50" t="inlineStr">
        <is>
          <t>Industri Produk Bakeri</t>
        </is>
      </c>
      <c r="K50" t="n">
        <v>10421</v>
      </c>
      <c r="L50" t="inlineStr">
        <is>
          <t>Industri Kopra</t>
        </is>
      </c>
      <c r="M50" t="inlineStr">
        <is>
          <t>INDUSTRI KOPRA (SAHRUDIN)</t>
        </is>
      </c>
      <c r="N50" t="inlineStr">
        <is>
          <t>JALAN PAISU KUDANG, RT 6 DUSUN 3 DESA ALAKASING -</t>
        </is>
      </c>
      <c r="O50" t="inlineStr">
        <is>
          <t>SAHRUDIN</t>
        </is>
      </c>
      <c r="Q50" t="inlineStr">
        <is>
          <t>2. Baru</t>
        </is>
      </c>
      <c r="R50" t="n">
        <v>2</v>
      </c>
      <c r="V50" t="inlineStr">
        <is>
          <t>Pastikan kode KBLI sesuai dengan kode KBLI cakupan BPOM yang tertera dalam buku Pedoman</t>
        </is>
      </c>
      <c r="W50" t="n">
        <v>1</v>
      </c>
      <c r="AB50" t="inlineStr">
        <is>
          <t>7201051006000600</t>
        </is>
      </c>
      <c r="AC50" t="inlineStr">
        <is>
          <t>APPROVED BY Pengawas</t>
        </is>
      </c>
    </row>
    <row r="51">
      <c r="A51" t="inlineStr">
        <is>
          <t>8a0b811d-ac88-4a61-9321-dd674194a992</t>
        </is>
      </c>
      <c r="B51" t="n">
        <v>72</v>
      </c>
      <c r="C51" t="n">
        <v>1</v>
      </c>
      <c r="D51" t="n">
        <v>51</v>
      </c>
      <c r="E51" t="n">
        <v>6</v>
      </c>
      <c r="F51" t="n">
        <v>6</v>
      </c>
      <c r="G51" t="n">
        <v>0</v>
      </c>
      <c r="H51" t="n">
        <v>43516347</v>
      </c>
      <c r="I51" t="n">
        <v>10710</v>
      </c>
      <c r="J51" t="inlineStr">
        <is>
          <t>Industri Produk Bakeri</t>
        </is>
      </c>
      <c r="K51" t="n">
        <v>20294</v>
      </c>
      <c r="L51" t="inlineStr">
        <is>
          <t>Industri Minyak Asiri Hulu</t>
        </is>
      </c>
      <c r="M51" t="inlineStr">
        <is>
          <t>INDUSTRI MINYAK NILAM ASIRI HULU (ISKANDAR A BUKARIM)</t>
        </is>
      </c>
      <c r="N51" t="inlineStr">
        <is>
          <t>KOMPLEKS PAISU KUDANG, RT 6 DUSUN 3 DESA ALAKASING -</t>
        </is>
      </c>
      <c r="O51" t="inlineStr">
        <is>
          <t>ISKANDAR A. BUKARIM</t>
        </is>
      </c>
      <c r="Q51" t="inlineStr">
        <is>
          <t>2. Baru</t>
        </is>
      </c>
      <c r="R51" t="n">
        <v>2</v>
      </c>
      <c r="V51" t="inlineStr">
        <is>
          <t>Pastikan kode KBLI sesuai dengan kode KBLI cakupan BPOM yang tertera dalam buku Pedoman</t>
        </is>
      </c>
      <c r="W51" t="n">
        <v>1</v>
      </c>
      <c r="AB51" t="inlineStr">
        <is>
          <t>7201051006000600</t>
        </is>
      </c>
      <c r="AC51" t="inlineStr">
        <is>
          <t>APPROVED BY Pengawas</t>
        </is>
      </c>
    </row>
    <row r="52">
      <c r="A52" t="inlineStr">
        <is>
          <t>b09f1af4-07b1-4173-bbcd-1fabfe71448f</t>
        </is>
      </c>
      <c r="B52" t="n">
        <v>72</v>
      </c>
      <c r="C52" t="n">
        <v>1</v>
      </c>
      <c r="D52" t="n">
        <v>51</v>
      </c>
      <c r="E52" t="n">
        <v>6</v>
      </c>
      <c r="F52" t="n">
        <v>6</v>
      </c>
      <c r="G52" t="n">
        <v>0</v>
      </c>
      <c r="H52" t="n">
        <v>43516347</v>
      </c>
      <c r="I52" t="n">
        <v>10710</v>
      </c>
      <c r="J52" t="inlineStr">
        <is>
          <t>Industri Produk Bakeri</t>
        </is>
      </c>
      <c r="K52" t="n">
        <v>1261</v>
      </c>
      <c r="L52" t="inlineStr">
        <is>
          <t>Pertanian Kelapa</t>
        </is>
      </c>
      <c r="M52" t="inlineStr">
        <is>
          <t>PERTANIAN KELAPA (SAMRIN PATAWE)</t>
        </is>
      </c>
      <c r="N52" t="inlineStr">
        <is>
          <t>KOMPLEKS PAISU KUDANG, RT 6 DUSUN 3 DESA ALAKASING</t>
        </is>
      </c>
      <c r="O52" t="inlineStr">
        <is>
          <t>SAMRIN PATAWE</t>
        </is>
      </c>
      <c r="Q52" t="inlineStr">
        <is>
          <t>2. Baru</t>
        </is>
      </c>
      <c r="R52" t="n">
        <v>2</v>
      </c>
      <c r="V52" t="inlineStr">
        <is>
          <t>Pastikan kode KBLI sesuai dengan kode KBLI cakupan BPOM yang tertera dalam buku Pedoman</t>
        </is>
      </c>
      <c r="W52" t="n">
        <v>0</v>
      </c>
      <c r="AB52" t="inlineStr">
        <is>
          <t>7201051006000600</t>
        </is>
      </c>
      <c r="AC52" t="inlineStr">
        <is>
          <t>SUBMITTED BY Pencacah</t>
        </is>
      </c>
    </row>
    <row r="53">
      <c r="A53" t="inlineStr">
        <is>
          <t>db4c2aa4-84f2-4cc7-90da-38ce63edfc48</t>
        </is>
      </c>
      <c r="B53" t="n">
        <v>72</v>
      </c>
      <c r="C53" t="n">
        <v>1</v>
      </c>
      <c r="D53" t="n">
        <v>51</v>
      </c>
      <c r="E53" t="n">
        <v>6</v>
      </c>
      <c r="F53" t="n">
        <v>6</v>
      </c>
      <c r="G53" t="n">
        <v>0</v>
      </c>
      <c r="H53" t="n">
        <v>43516347</v>
      </c>
      <c r="I53" t="n">
        <v>10710</v>
      </c>
      <c r="J53" t="inlineStr">
        <is>
          <t>Industri Produk Bakeri</t>
        </is>
      </c>
      <c r="K53" t="n">
        <v>1261</v>
      </c>
      <c r="L53" t="inlineStr">
        <is>
          <t>Pertanian Kelapa</t>
        </is>
      </c>
      <c r="M53" t="inlineStr">
        <is>
          <t>PERTANIAN KELAPA (SANUYA BUKARIM)</t>
        </is>
      </c>
      <c r="N53" t="inlineStr">
        <is>
          <t>KOMPLEKS PAISU KUDANG</t>
        </is>
      </c>
      <c r="O53" t="inlineStr">
        <is>
          <t>SANUYA BUKARIM</t>
        </is>
      </c>
      <c r="Q53" t="inlineStr">
        <is>
          <t>2. Baru</t>
        </is>
      </c>
      <c r="R53" t="n">
        <v>2</v>
      </c>
      <c r="V53" t="inlineStr">
        <is>
          <t>Pastikan kode KBLI sesuai dengan kode KBLI cakupan BPOM yang tertera dalam buku Pedoman</t>
        </is>
      </c>
      <c r="W53" t="n">
        <v>0</v>
      </c>
      <c r="AB53" t="inlineStr">
        <is>
          <t>7201051006000600</t>
        </is>
      </c>
      <c r="AC53" t="inlineStr">
        <is>
          <t>APPROVED BY Pengawas</t>
        </is>
      </c>
    </row>
    <row r="54">
      <c r="A54" t="inlineStr">
        <is>
          <t>558ada7a-295a-47b3-8c7b-2871433cc997</t>
        </is>
      </c>
      <c r="B54" t="n">
        <v>72</v>
      </c>
      <c r="C54" t="n">
        <v>1</v>
      </c>
      <c r="D54" t="n">
        <v>51</v>
      </c>
      <c r="E54" t="n">
        <v>6</v>
      </c>
      <c r="F54" t="n">
        <v>6</v>
      </c>
      <c r="G54" t="n">
        <v>0</v>
      </c>
      <c r="H54" t="n">
        <v>43516347</v>
      </c>
      <c r="I54" t="n">
        <v>10710</v>
      </c>
      <c r="J54" t="inlineStr">
        <is>
          <t>Industri Produk Bakeri</t>
        </is>
      </c>
      <c r="K54" t="n">
        <v>10421</v>
      </c>
      <c r="L54" t="inlineStr">
        <is>
          <t>Industri Kopra</t>
        </is>
      </c>
      <c r="M54" t="inlineStr">
        <is>
          <t>INDUSTRI KOPRA (HUSIN SOLONDONG)</t>
        </is>
      </c>
      <c r="N54" t="inlineStr">
        <is>
          <t>JALAN TRANSPELING, DESA ALAKASING</t>
        </is>
      </c>
      <c r="O54" t="inlineStr">
        <is>
          <t>HUSIN SOLONDONG</t>
        </is>
      </c>
      <c r="Q54" t="inlineStr">
        <is>
          <t>2. Baru</t>
        </is>
      </c>
      <c r="R54" t="n">
        <v>2</v>
      </c>
      <c r="V54" t="inlineStr">
        <is>
          <t>Pastikan kode KBLI sesuai dengan kode KBLI cakupan BPOM yang tertera dalam buku Pedoman</t>
        </is>
      </c>
      <c r="W54" t="n">
        <v>1</v>
      </c>
      <c r="AB54" t="inlineStr">
        <is>
          <t>7201051006000600</t>
        </is>
      </c>
      <c r="AC54" t="inlineStr">
        <is>
          <t>APPROVED BY Pengawas</t>
        </is>
      </c>
    </row>
    <row r="55">
      <c r="A55" t="inlineStr">
        <is>
          <t>3b64f609-12cf-48d1-b1f3-bd33be15a32c</t>
        </is>
      </c>
      <c r="B55" t="n">
        <v>72</v>
      </c>
      <c r="C55" t="n">
        <v>1</v>
      </c>
      <c r="D55" t="n">
        <v>51</v>
      </c>
      <c r="E55" t="n">
        <v>6</v>
      </c>
      <c r="F55" t="n">
        <v>6</v>
      </c>
      <c r="G55" t="n">
        <v>0</v>
      </c>
      <c r="H55" t="n">
        <v>43516347</v>
      </c>
      <c r="I55" t="n">
        <v>10710</v>
      </c>
      <c r="J55" t="inlineStr">
        <is>
          <t>Industri Produk Bakeri</t>
        </is>
      </c>
      <c r="K55" t="n">
        <v>1261</v>
      </c>
      <c r="L55" t="inlineStr">
        <is>
          <t>Pertanian Kelapa</t>
        </is>
      </c>
      <c r="M55" t="inlineStr">
        <is>
          <t>PERTANIAN KELAPA (SARDIA DAMAN)</t>
        </is>
      </c>
      <c r="N55" t="inlineStr">
        <is>
          <t>PAISU KUDANG RT 6 DUSUN 3 DESA ALAKASING -</t>
        </is>
      </c>
      <c r="O55" t="inlineStr">
        <is>
          <t>SARDIA DAMAN</t>
        </is>
      </c>
      <c r="Q55" t="inlineStr">
        <is>
          <t>2. Baru</t>
        </is>
      </c>
      <c r="R55" t="n">
        <v>2</v>
      </c>
      <c r="V55" t="inlineStr">
        <is>
          <t>Pastikan kode KBLI sesuai dengan kode KBLI cakupan BPOM yang tertera dalam buku Pedoman</t>
        </is>
      </c>
      <c r="W55" t="n">
        <v>0</v>
      </c>
      <c r="AB55" t="inlineStr">
        <is>
          <t>7201051006000600</t>
        </is>
      </c>
      <c r="AC55" t="inlineStr">
        <is>
          <t>APPROVED BY Pengawas</t>
        </is>
      </c>
    </row>
    <row r="56">
      <c r="A56" t="inlineStr">
        <is>
          <t>f0d3fae7-7df1-496f-9c3c-59632b4764ee</t>
        </is>
      </c>
      <c r="B56" t="n">
        <v>72</v>
      </c>
      <c r="C56" t="n">
        <v>1</v>
      </c>
      <c r="D56" t="n">
        <v>51</v>
      </c>
      <c r="E56" t="n">
        <v>6</v>
      </c>
      <c r="F56" t="n">
        <v>6</v>
      </c>
      <c r="G56" t="n">
        <v>0</v>
      </c>
      <c r="H56" t="n">
        <v>43516347</v>
      </c>
      <c r="I56" t="n">
        <v>10710</v>
      </c>
      <c r="J56" t="inlineStr">
        <is>
          <t>Industri Produk Bakeri</t>
        </is>
      </c>
      <c r="K56" t="n">
        <v>10421</v>
      </c>
      <c r="L56" t="inlineStr">
        <is>
          <t>Industri Kopra</t>
        </is>
      </c>
      <c r="M56" t="inlineStr">
        <is>
          <t>INDUSTRI KOPRA (YOEL M.YOHAN)</t>
        </is>
      </c>
      <c r="N56" t="inlineStr">
        <is>
          <t>KOMPLEKS PAISU KUDANG, RT 6 DUSUN 3 DESA ALAKASING -</t>
        </is>
      </c>
      <c r="O56" t="inlineStr">
        <is>
          <t>YOEL M. YOHAN</t>
        </is>
      </c>
      <c r="Q56" t="inlineStr">
        <is>
          <t>2. Baru</t>
        </is>
      </c>
      <c r="R56" t="n">
        <v>2</v>
      </c>
      <c r="V56" t="inlineStr">
        <is>
          <t>Pastikan kode KBLI sesuai dengan kode KBLI cakupan BPOM yang tertera dalam buku Pedoman</t>
        </is>
      </c>
      <c r="W56" t="n">
        <v>1</v>
      </c>
      <c r="AB56" t="inlineStr">
        <is>
          <t>7201051006000600</t>
        </is>
      </c>
      <c r="AC56" t="inlineStr">
        <is>
          <t>APPROVED BY Pengawas</t>
        </is>
      </c>
    </row>
    <row r="57">
      <c r="A57" t="inlineStr">
        <is>
          <t>b09f1af4-07b1-4173-bbcd-1fabfe71448f</t>
        </is>
      </c>
      <c r="B57" t="n">
        <v>72</v>
      </c>
      <c r="C57" t="n">
        <v>1</v>
      </c>
      <c r="D57" t="n">
        <v>51</v>
      </c>
      <c r="E57" t="n">
        <v>6</v>
      </c>
      <c r="F57" t="n">
        <v>6</v>
      </c>
      <c r="G57" t="n">
        <v>0</v>
      </c>
      <c r="H57" t="n">
        <v>43516347</v>
      </c>
      <c r="I57" t="n">
        <v>10710</v>
      </c>
      <c r="J57" t="inlineStr">
        <is>
          <t>Industri Produk Bakeri</t>
        </is>
      </c>
      <c r="K57" t="n">
        <v>10421</v>
      </c>
      <c r="L57" t="inlineStr">
        <is>
          <t>Industri Kopra</t>
        </is>
      </c>
      <c r="M57" t="inlineStr">
        <is>
          <t>INDUSTRI KOPRA (SAMRIN PATAWE)</t>
        </is>
      </c>
      <c r="N57" t="inlineStr">
        <is>
          <t>KOMPLEKS PAISU KUDANG, RT 6 DUSUN 3 DESA ALAKASING -</t>
        </is>
      </c>
      <c r="O57" t="inlineStr">
        <is>
          <t>SAMRIN PATAWE</t>
        </is>
      </c>
      <c r="Q57" t="inlineStr">
        <is>
          <t>2. Baru</t>
        </is>
      </c>
      <c r="R57" t="n">
        <v>2</v>
      </c>
      <c r="V57" t="inlineStr">
        <is>
          <t>Pastikan kode KBLI sesuai dengan kode KBLI cakupan BPOM yang tertera dalam buku Pedoman</t>
        </is>
      </c>
      <c r="W57" t="n">
        <v>1</v>
      </c>
      <c r="AB57" t="inlineStr">
        <is>
          <t>7201051006000600</t>
        </is>
      </c>
      <c r="AC57" t="inlineStr">
        <is>
          <t>SUBMITTED BY Pencacah</t>
        </is>
      </c>
    </row>
    <row r="58">
      <c r="A58" t="inlineStr">
        <is>
          <t>558ada7a-295a-47b3-8c7b-2871433cc997</t>
        </is>
      </c>
      <c r="B58" t="n">
        <v>72</v>
      </c>
      <c r="C58" t="n">
        <v>1</v>
      </c>
      <c r="D58" t="n">
        <v>51</v>
      </c>
      <c r="E58" t="n">
        <v>6</v>
      </c>
      <c r="F58" t="n">
        <v>6</v>
      </c>
      <c r="G58" t="n">
        <v>0</v>
      </c>
      <c r="H58" t="n">
        <v>43516347</v>
      </c>
      <c r="I58" t="n">
        <v>10710</v>
      </c>
      <c r="J58" t="inlineStr">
        <is>
          <t>Industri Produk Bakeri</t>
        </is>
      </c>
      <c r="K58" t="n">
        <v>1261</v>
      </c>
      <c r="L58" t="inlineStr">
        <is>
          <t>Pertanian Kelapa</t>
        </is>
      </c>
      <c r="M58" t="inlineStr">
        <is>
          <t>PERTANIAN KELAPA (HUSIN SOLONDONG)</t>
        </is>
      </c>
      <c r="N58" t="inlineStr">
        <is>
          <t>JALAN TRANSPELING, DESA ALAKASING</t>
        </is>
      </c>
      <c r="O58" t="inlineStr">
        <is>
          <t>HUSIN SOLONDONG</t>
        </is>
      </c>
      <c r="Q58" t="inlineStr">
        <is>
          <t>2. Baru</t>
        </is>
      </c>
      <c r="R58" t="n">
        <v>2</v>
      </c>
      <c r="V58" t="inlineStr">
        <is>
          <t>Pastikan kode KBLI sesuai dengan kode KBLI cakupan BPOM yang tertera dalam buku Pedoman</t>
        </is>
      </c>
      <c r="W58" t="n">
        <v>0</v>
      </c>
      <c r="AB58" t="inlineStr">
        <is>
          <t>7201051006000600</t>
        </is>
      </c>
      <c r="AC58" t="inlineStr">
        <is>
          <t>APPROVED BY Pengawas</t>
        </is>
      </c>
    </row>
    <row r="59">
      <c r="A59" t="inlineStr">
        <is>
          <t>8a0b811d-ac88-4a61-9321-dd674194a992</t>
        </is>
      </c>
      <c r="B59" t="n">
        <v>72</v>
      </c>
      <c r="C59" t="n">
        <v>1</v>
      </c>
      <c r="D59" t="n">
        <v>51</v>
      </c>
      <c r="E59" t="n">
        <v>6</v>
      </c>
      <c r="F59" t="n">
        <v>6</v>
      </c>
      <c r="G59" t="n">
        <v>0</v>
      </c>
      <c r="H59" t="n">
        <v>43516347</v>
      </c>
      <c r="I59" t="n">
        <v>10710</v>
      </c>
      <c r="J59" t="inlineStr">
        <is>
          <t>Industri Produk Bakeri</t>
        </is>
      </c>
      <c r="K59" t="n">
        <v>66199</v>
      </c>
      <c r="L59" t="inlineStr">
        <is>
          <t>Aktivitas Penunjang Jasa Keuangan Lainnya YTDL, Kecuali Asuransi dan Dana Pensiun</t>
        </is>
      </c>
      <c r="M59" t="inlineStr">
        <is>
          <t>USAHA BRILINK/ATM MINI (SITI JIJA LAMRIN MASKIRA)</t>
        </is>
      </c>
      <c r="N59" t="inlineStr">
        <is>
          <t>KOMPLEKS PAISU KUDANG, RT 6 DUSUN 3 DESA ALAKASING -</t>
        </is>
      </c>
      <c r="O59" t="inlineStr">
        <is>
          <t>SITI JIJA LAMRIN MASKIRA</t>
        </is>
      </c>
      <c r="Q59" t="inlineStr">
        <is>
          <t>2. Baru</t>
        </is>
      </c>
      <c r="R59" t="n">
        <v>2</v>
      </c>
      <c r="V59" t="inlineStr">
        <is>
          <t>Pastikan kode KBLI sesuai dengan kode KBLI cakupan BPOM yang tertera dalam buku Pedoman</t>
        </is>
      </c>
      <c r="W59" t="n">
        <v>0</v>
      </c>
      <c r="AB59" t="inlineStr">
        <is>
          <t>7201051006000600</t>
        </is>
      </c>
      <c r="AC59" t="inlineStr">
        <is>
          <t>APPROVED BY Pengawas</t>
        </is>
      </c>
    </row>
    <row r="60">
      <c r="A60" t="inlineStr">
        <is>
          <t>91d915a4-02d2-4c28-a148-e6bcebc11336</t>
        </is>
      </c>
      <c r="B60" t="n">
        <v>72</v>
      </c>
      <c r="C60" t="n">
        <v>1</v>
      </c>
      <c r="D60" t="n">
        <v>71</v>
      </c>
      <c r="E60" t="n">
        <v>5</v>
      </c>
      <c r="F60" t="n">
        <v>2</v>
      </c>
      <c r="G60" t="n">
        <v>0</v>
      </c>
      <c r="H60" t="n">
        <v>48968522</v>
      </c>
      <c r="I60" t="n">
        <v>23921</v>
      </c>
      <c r="J60" t="inlineStr">
        <is>
          <t>Industri Batu Bata dari Tanah Liat atau Keramik</t>
        </is>
      </c>
      <c r="M60" t="inlineStr">
        <is>
          <t>WAN KAMBIO</t>
        </is>
      </c>
      <c r="N60" t="inlineStr">
        <is>
          <t>DESA LUMBI-LUMBIA</t>
        </is>
      </c>
      <c r="Q60" t="inlineStr">
        <is>
          <t>0. Tidak Ditemukan</t>
        </is>
      </c>
      <c r="R60" t="n">
        <v>0</v>
      </c>
      <c r="V60" t="inlineStr">
        <is>
          <t>Pastikan sesuai kondisi lapangan</t>
        </is>
      </c>
      <c r="W60" t="n">
        <v>0</v>
      </c>
      <c r="AB60" t="inlineStr">
        <is>
          <t>7201071005000200</t>
        </is>
      </c>
      <c r="AC60" t="inlineStr">
        <is>
          <t>APPROVED BY Pengawas</t>
        </is>
      </c>
    </row>
    <row r="61">
      <c r="A61" t="inlineStr">
        <is>
          <t>9bb412c4-7709-42b1-b8d9-28ebcad8200b</t>
        </is>
      </c>
      <c r="B61" t="n">
        <v>72</v>
      </c>
      <c r="C61" t="n">
        <v>2</v>
      </c>
      <c r="D61" t="n">
        <v>10</v>
      </c>
      <c r="E61" t="n">
        <v>20</v>
      </c>
      <c r="F61" t="n">
        <v>6</v>
      </c>
      <c r="G61" t="n">
        <v>0</v>
      </c>
      <c r="H61" t="n">
        <v>29434469</v>
      </c>
      <c r="I61" t="n">
        <v>47242</v>
      </c>
      <c r="J61" t="inlineStr">
        <is>
          <t>Perdagangan Eceran Roti, Kue Kering, serta Kue Basah dan Sejenisnya</t>
        </is>
      </c>
      <c r="M61" t="inlineStr">
        <is>
          <t>RATNA SATIKA WATI</t>
        </is>
      </c>
      <c r="N61" t="inlineStr">
        <is>
          <t>TIRTA KENCANA DUSUN I</t>
        </is>
      </c>
      <c r="Q61" t="inlineStr">
        <is>
          <t>0. Tidak Ditemukan</t>
        </is>
      </c>
      <c r="R61" t="n">
        <v>0</v>
      </c>
      <c r="V61" t="inlineStr">
        <is>
          <t>Pastikan sesuai kondisi lapangan</t>
        </is>
      </c>
      <c r="W61" t="n">
        <v>0</v>
      </c>
      <c r="AB61" t="inlineStr">
        <is>
          <t>7202010020000600</t>
        </is>
      </c>
      <c r="AC61" t="inlineStr">
        <is>
          <t>APPROVED BY Pengawas</t>
        </is>
      </c>
    </row>
    <row r="62">
      <c r="A62" t="inlineStr">
        <is>
          <t>9d30f031-d08d-461c-b094-9f8ffa4d42b1</t>
        </is>
      </c>
      <c r="B62" t="n">
        <v>72</v>
      </c>
      <c r="C62" t="n">
        <v>2</v>
      </c>
      <c r="D62" t="n">
        <v>10</v>
      </c>
      <c r="E62" t="n">
        <v>26</v>
      </c>
      <c r="F62" t="n">
        <v>3</v>
      </c>
      <c r="G62" t="n">
        <v>0</v>
      </c>
      <c r="H62" t="n">
        <v>26298814</v>
      </c>
      <c r="I62" t="n">
        <v>10779</v>
      </c>
      <c r="J62" t="inlineStr">
        <is>
          <t>Industri Bumbu Masakan Lainnya</t>
        </is>
      </c>
      <c r="M62" t="inlineStr">
        <is>
          <t>Yuyun Triasih</t>
        </is>
      </c>
      <c r="N62" t="inlineStr">
        <is>
          <t>Rusakencana</t>
        </is>
      </c>
      <c r="Q62" t="inlineStr">
        <is>
          <t>0. Tidak Ditemukan</t>
        </is>
      </c>
      <c r="R62" t="n">
        <v>0</v>
      </c>
      <c r="V62" t="inlineStr">
        <is>
          <t>Pastikan sesuai kondisi lapangan</t>
        </is>
      </c>
      <c r="W62" t="n">
        <v>0</v>
      </c>
      <c r="AB62" t="inlineStr">
        <is>
          <t>7202010026000300</t>
        </is>
      </c>
      <c r="AC62" t="inlineStr">
        <is>
          <t>APPROVED BY Pengawas</t>
        </is>
      </c>
    </row>
    <row r="63">
      <c r="A63" t="inlineStr">
        <is>
          <t>fcd9721b-3ef6-447a-8ec3-83ccb8f28b52</t>
        </is>
      </c>
      <c r="B63" t="n">
        <v>72</v>
      </c>
      <c r="C63" t="n">
        <v>2</v>
      </c>
      <c r="D63" t="n">
        <v>10</v>
      </c>
      <c r="E63" t="n">
        <v>26</v>
      </c>
      <c r="F63" t="n">
        <v>5</v>
      </c>
      <c r="G63" t="n">
        <v>0</v>
      </c>
      <c r="H63" t="n">
        <v>26297781</v>
      </c>
      <c r="I63" t="n">
        <v>10710</v>
      </c>
      <c r="J63" t="inlineStr">
        <is>
          <t>Industri Produk Bakeri</t>
        </is>
      </c>
      <c r="M63" t="inlineStr">
        <is>
          <t>Dwi Rizka Retza Putri. I</t>
        </is>
      </c>
      <c r="N63" t="inlineStr">
        <is>
          <t>RUSA KENCANA</t>
        </is>
      </c>
      <c r="Q63" t="inlineStr">
        <is>
          <t>0. Tidak Ditemukan</t>
        </is>
      </c>
      <c r="R63" t="n">
        <v>0</v>
      </c>
      <c r="V63" t="inlineStr">
        <is>
          <t>Pastikan sesuai kondisi lapangan</t>
        </is>
      </c>
      <c r="W63" t="n">
        <v>0</v>
      </c>
      <c r="AB63" t="inlineStr">
        <is>
          <t>7202010026000500</t>
        </is>
      </c>
      <c r="AC63" t="inlineStr">
        <is>
          <t>SUBMITTED BY Pencacah</t>
        </is>
      </c>
    </row>
    <row r="64">
      <c r="A64" t="inlineStr">
        <is>
          <t>9a861a96-32b2-4969-b28b-2aade6f3d6f3</t>
        </is>
      </c>
      <c r="B64" t="n">
        <v>72</v>
      </c>
      <c r="C64" t="n">
        <v>2</v>
      </c>
      <c r="D64" t="n">
        <v>10</v>
      </c>
      <c r="E64" t="n">
        <v>41</v>
      </c>
      <c r="F64" t="n">
        <v>9</v>
      </c>
      <c r="G64" t="n">
        <v>0</v>
      </c>
      <c r="H64" t="n">
        <v>26298043</v>
      </c>
      <c r="I64" t="n">
        <v>10794</v>
      </c>
      <c r="J64" t="inlineStr">
        <is>
          <t>Industri Kerupuk, Keripik, Peyek, dan Sejenisnya</t>
        </is>
      </c>
      <c r="M64" t="inlineStr">
        <is>
          <t>Dede Rosalinda</t>
        </is>
      </c>
      <c r="N64" t="inlineStr">
        <is>
          <t>Mansahang</t>
        </is>
      </c>
      <c r="Q64" t="inlineStr">
        <is>
          <t>0. Tidak Ditemukan</t>
        </is>
      </c>
      <c r="R64" t="n">
        <v>0</v>
      </c>
      <c r="V64" t="inlineStr">
        <is>
          <t>Pastikan sesuai kondisi lapangan</t>
        </is>
      </c>
      <c r="W64" t="n">
        <v>0</v>
      </c>
      <c r="AB64" t="inlineStr">
        <is>
          <t>7202010041000900</t>
        </is>
      </c>
      <c r="AC64" t="inlineStr">
        <is>
          <t>SUBMITTED BY Pencacah</t>
        </is>
      </c>
    </row>
    <row r="65">
      <c r="A65" t="inlineStr">
        <is>
          <t>894a1580-b675-44de-a568-f9db1f116eb2</t>
        </is>
      </c>
      <c r="B65" t="n">
        <v>72</v>
      </c>
      <c r="C65" t="n">
        <v>2</v>
      </c>
      <c r="D65" t="n">
        <v>10</v>
      </c>
      <c r="E65" t="n">
        <v>47</v>
      </c>
      <c r="F65" t="n">
        <v>5</v>
      </c>
      <c r="G65" t="n">
        <v>0</v>
      </c>
      <c r="H65" t="n">
        <v>26298042</v>
      </c>
      <c r="I65" t="n">
        <v>10710</v>
      </c>
      <c r="J65" t="inlineStr">
        <is>
          <t>Industri Produk Bakeri</t>
        </is>
      </c>
      <c r="M65" t="inlineStr">
        <is>
          <t xml:space="preserve">Wiwit Wijayanti </t>
        </is>
      </c>
      <c r="N65" t="inlineStr">
        <is>
          <t xml:space="preserve">Jaya Kencana </t>
        </is>
      </c>
      <c r="Q65" t="inlineStr">
        <is>
          <t>0. Tidak Ditemukan</t>
        </is>
      </c>
      <c r="R65" t="n">
        <v>0</v>
      </c>
      <c r="V65" t="inlineStr">
        <is>
          <t>Pastikan sesuai kondisi lapangan</t>
        </is>
      </c>
      <c r="W65" t="n">
        <v>0</v>
      </c>
      <c r="AB65" t="inlineStr">
        <is>
          <t>7202010047000500</t>
        </is>
      </c>
      <c r="AC65" t="inlineStr">
        <is>
          <t>APPROVED BY Pengawas</t>
        </is>
      </c>
    </row>
    <row r="66">
      <c r="A66" t="inlineStr">
        <is>
          <t>8623615f-cc18-436b-a46b-dcdb9871436b</t>
        </is>
      </c>
      <c r="B66" t="n">
        <v>72</v>
      </c>
      <c r="C66" t="n">
        <v>2</v>
      </c>
      <c r="D66" t="n">
        <v>11</v>
      </c>
      <c r="E66" t="n">
        <v>13</v>
      </c>
      <c r="F66" t="n">
        <v>2</v>
      </c>
      <c r="G66" t="n">
        <v>0</v>
      </c>
      <c r="H66" t="n">
        <v>26570068</v>
      </c>
      <c r="I66" t="n">
        <v>10794</v>
      </c>
      <c r="J66" t="inlineStr">
        <is>
          <t>Industri Kerupuk, Keripik, Peyek, dan Sejenisnya</t>
        </is>
      </c>
      <c r="M66" t="inlineStr">
        <is>
          <t>HARLIYANA RUMA TIGA</t>
        </is>
      </c>
      <c r="N66" t="inlineStr">
        <is>
          <t>DONGIN</t>
        </is>
      </c>
      <c r="Q66" t="inlineStr">
        <is>
          <t>0. Tidak Ditemukan</t>
        </is>
      </c>
      <c r="R66" t="n">
        <v>0</v>
      </c>
      <c r="V66" t="inlineStr">
        <is>
          <t>Pastikan sesuai kondisi lapangan</t>
        </is>
      </c>
      <c r="W66" t="n">
        <v>0</v>
      </c>
      <c r="AB66" t="inlineStr">
        <is>
          <t>7202011013000200</t>
        </is>
      </c>
      <c r="AC66" t="inlineStr">
        <is>
          <t>APPROVED BY Pengawas</t>
        </is>
      </c>
    </row>
    <row r="67">
      <c r="A67" t="inlineStr">
        <is>
          <t>45ac55f8-5ef5-426c-979c-8a19321f307d</t>
        </is>
      </c>
      <c r="B67" t="n">
        <v>72</v>
      </c>
      <c r="C67" t="n">
        <v>2</v>
      </c>
      <c r="D67" t="n">
        <v>11</v>
      </c>
      <c r="E67" t="n">
        <v>14</v>
      </c>
      <c r="F67" t="n">
        <v>1</v>
      </c>
      <c r="G67" t="n">
        <v>2</v>
      </c>
      <c r="H67" t="n">
        <v>26279974</v>
      </c>
      <c r="I67" t="n">
        <v>10761</v>
      </c>
      <c r="J67" t="inlineStr">
        <is>
          <t>Pengolahan Kopi</t>
        </is>
      </c>
      <c r="M67" t="inlineStr">
        <is>
          <t>RATNI ONDO SAENI</t>
        </is>
      </c>
      <c r="N67" t="inlineStr">
        <is>
          <t>DONGIN</t>
        </is>
      </c>
      <c r="Q67" t="inlineStr">
        <is>
          <t>0. Tidak Ditemukan</t>
        </is>
      </c>
      <c r="R67" t="n">
        <v>0</v>
      </c>
      <c r="V67" t="inlineStr">
        <is>
          <t>Pastikan sesuai kondisi lapangan</t>
        </is>
      </c>
      <c r="W67" t="n">
        <v>0</v>
      </c>
      <c r="AB67" t="inlineStr">
        <is>
          <t>7202011014000102</t>
        </is>
      </c>
      <c r="AC67" t="inlineStr">
        <is>
          <t>SUBMITTED BY Pencacah</t>
        </is>
      </c>
    </row>
    <row r="68">
      <c r="A68" t="inlineStr">
        <is>
          <t>0c4d402d-5541-40b5-af17-7e3cf85359a9</t>
        </is>
      </c>
      <c r="B68" t="n">
        <v>72</v>
      </c>
      <c r="C68" t="n">
        <v>2</v>
      </c>
      <c r="D68" t="n">
        <v>11</v>
      </c>
      <c r="E68" t="n">
        <v>15</v>
      </c>
      <c r="F68" t="n">
        <v>2</v>
      </c>
      <c r="G68" t="n">
        <v>0</v>
      </c>
      <c r="H68" t="n">
        <v>32473084</v>
      </c>
      <c r="I68" t="n">
        <v>10794</v>
      </c>
      <c r="J68" t="inlineStr">
        <is>
          <t>Industri Kerupuk, Keripik, Peyek, dan Sejenisnya</t>
        </is>
      </c>
      <c r="K68" t="n">
        <v>10750</v>
      </c>
      <c r="L68" t="inlineStr">
        <is>
          <t>Industri Makanan dan Masakan Olahan</t>
        </is>
      </c>
      <c r="M68" t="inlineStr">
        <is>
          <t>KRIPIK FAMILY</t>
        </is>
      </c>
      <c r="N68" t="inlineStr">
        <is>
          <t>DESA UWELOLU -</t>
        </is>
      </c>
      <c r="P68" t="inlineStr">
        <is>
          <t>7201**********01</t>
        </is>
      </c>
      <c r="Q68" t="inlineStr">
        <is>
          <t>1. Ditemukan</t>
        </is>
      </c>
      <c r="R68" t="n">
        <v>1</v>
      </c>
      <c r="S68" t="inlineStr">
        <is>
          <t xml:space="preserve">1. Ya, oleh BPOM </t>
        </is>
      </c>
      <c r="T68" t="n">
        <v>8</v>
      </c>
      <c r="U68" t="n">
        <v>1</v>
      </c>
      <c r="W68" t="n">
        <v>1</v>
      </c>
      <c r="AB68" t="inlineStr">
        <is>
          <t>7202011015000200</t>
        </is>
      </c>
      <c r="AC68" t="inlineStr">
        <is>
          <t>APPROVED BY Pengawas</t>
        </is>
      </c>
    </row>
    <row r="69">
      <c r="A69" t="inlineStr">
        <is>
          <t>1be9bda7-7110-4ee8-9b09-e23fe43ef507</t>
        </is>
      </c>
      <c r="B69" t="n">
        <v>72</v>
      </c>
      <c r="C69" t="n">
        <v>2</v>
      </c>
      <c r="D69" t="n">
        <v>12</v>
      </c>
      <c r="E69" t="n">
        <v>5</v>
      </c>
      <c r="F69" t="n">
        <v>8</v>
      </c>
      <c r="G69" t="n">
        <v>0</v>
      </c>
      <c r="H69" t="n">
        <v>26508422</v>
      </c>
      <c r="K69" t="n">
        <v>47112</v>
      </c>
      <c r="L69" t="inlineStr">
        <is>
          <t>Perdagangan Eceran Berbagai Macam Barang yang Utamanya Makanan, Minuman, atau Tembakau Selain dengan Sistem Swalayan</t>
        </is>
      </c>
      <c r="M69" t="inlineStr">
        <is>
          <t>Kios Sembako Pak Tatak</t>
        </is>
      </c>
      <c r="N69" t="inlineStr">
        <is>
          <t>ARGA KENCANA -</t>
        </is>
      </c>
      <c r="O69" t="inlineStr">
        <is>
          <t>TATAK</t>
        </is>
      </c>
      <c r="Q69" t="inlineStr">
        <is>
          <t>2. Baru</t>
        </is>
      </c>
      <c r="R69" t="n">
        <v>2</v>
      </c>
      <c r="V69" t="inlineStr">
        <is>
          <t>Pastikan kode KBLI sesuai dengan kode KBLI cakupan BPOM yang tertera dalam buku Pedoman</t>
        </is>
      </c>
      <c r="W69" t="n">
        <v>1</v>
      </c>
      <c r="AB69" t="inlineStr">
        <is>
          <t>7202012005000800</t>
        </is>
      </c>
      <c r="AC69" t="inlineStr">
        <is>
          <t>REJECTED BY Pengawas</t>
        </is>
      </c>
    </row>
    <row r="70">
      <c r="A70" t="inlineStr">
        <is>
          <t>1be9bda7-7110-4ee8-9b09-e23fe43ef507</t>
        </is>
      </c>
      <c r="B70" t="n">
        <v>72</v>
      </c>
      <c r="C70" t="n">
        <v>2</v>
      </c>
      <c r="D70" t="n">
        <v>12</v>
      </c>
      <c r="E70" t="n">
        <v>5</v>
      </c>
      <c r="F70" t="n">
        <v>8</v>
      </c>
      <c r="G70" t="n">
        <v>0</v>
      </c>
      <c r="H70" t="n">
        <v>26508422</v>
      </c>
      <c r="K70" t="n">
        <v>47112</v>
      </c>
      <c r="L70" t="inlineStr">
        <is>
          <t>Perdagangan Eceran Berbagai Macam Barang yang Utamanya Makanan, Minuman, atau Tembakau Selain dengan Sistem Swalayan</t>
        </is>
      </c>
      <c r="M70" t="inlineStr">
        <is>
          <t>TATAK</t>
        </is>
      </c>
      <c r="N70" t="inlineStr">
        <is>
          <t>ARGA KENCANA -</t>
        </is>
      </c>
      <c r="O70" t="inlineStr">
        <is>
          <t>TATAK</t>
        </is>
      </c>
      <c r="Q70" t="inlineStr">
        <is>
          <t>2. Baru</t>
        </is>
      </c>
      <c r="R70" t="n">
        <v>2</v>
      </c>
      <c r="V70" t="inlineStr">
        <is>
          <t>Pastikan kode KBLI sesuai dengan kode KBLI cakupan BPOM yang tertera dalam buku Pedoman</t>
        </is>
      </c>
      <c r="W70" t="n">
        <v>1</v>
      </c>
      <c r="AB70" t="inlineStr">
        <is>
          <t>7202012005000800</t>
        </is>
      </c>
      <c r="AC70" t="inlineStr">
        <is>
          <t>REJECTED BY Pengawas</t>
        </is>
      </c>
    </row>
    <row r="71">
      <c r="A71" t="inlineStr">
        <is>
          <t>d00549a2-5902-4b6f-94ba-43f4468b746d</t>
        </is>
      </c>
      <c r="B71" t="n">
        <v>72</v>
      </c>
      <c r="C71" t="n">
        <v>2</v>
      </c>
      <c r="D71" t="n">
        <v>12</v>
      </c>
      <c r="E71" t="n">
        <v>5</v>
      </c>
      <c r="F71" t="n">
        <v>8</v>
      </c>
      <c r="G71" t="n">
        <v>0</v>
      </c>
      <c r="H71" t="n">
        <v>26508422</v>
      </c>
      <c r="M71" t="inlineStr">
        <is>
          <t>TATAK</t>
        </is>
      </c>
      <c r="N71" t="inlineStr">
        <is>
          <t>ARGA KENCANA</t>
        </is>
      </c>
      <c r="Q71" t="inlineStr">
        <is>
          <t>0. Tidak Ditemukan</t>
        </is>
      </c>
      <c r="R71" t="n">
        <v>0</v>
      </c>
      <c r="V71" t="inlineStr">
        <is>
          <t>Pastikan sesuai kondisi lapangan</t>
        </is>
      </c>
      <c r="W71" t="n">
        <v>0</v>
      </c>
      <c r="AB71" t="inlineStr">
        <is>
          <t>7202012005000800</t>
        </is>
      </c>
      <c r="AC71" t="inlineStr">
        <is>
          <t>REJECTED BY Pengawas</t>
        </is>
      </c>
    </row>
    <row r="72">
      <c r="A72" t="inlineStr">
        <is>
          <t>8801bcc8-9935-462e-999e-66ab11a5bcbb</t>
        </is>
      </c>
      <c r="B72" t="n">
        <v>72</v>
      </c>
      <c r="C72" t="n">
        <v>2</v>
      </c>
      <c r="D72" t="n">
        <v>13</v>
      </c>
      <c r="E72" t="n">
        <v>2</v>
      </c>
      <c r="F72" t="n">
        <v>7</v>
      </c>
      <c r="G72" t="n">
        <v>0</v>
      </c>
      <c r="H72" t="n">
        <v>26298033</v>
      </c>
      <c r="I72" t="n">
        <v>10306</v>
      </c>
      <c r="J72" t="inlineStr">
        <is>
          <t>Pengolahan Sari Buah-buahan dan Sayuran</t>
        </is>
      </c>
      <c r="M72" t="inlineStr">
        <is>
          <t xml:space="preserve">Titik Kastiah </t>
        </is>
      </c>
      <c r="N72" t="inlineStr">
        <is>
          <t>Piondo</t>
        </is>
      </c>
      <c r="Q72" t="inlineStr">
        <is>
          <t>0. Tidak Ditemukan</t>
        </is>
      </c>
      <c r="R72" t="n">
        <v>0</v>
      </c>
      <c r="V72" t="inlineStr">
        <is>
          <t>Pastikan sesuai kondisi lapangan</t>
        </is>
      </c>
      <c r="W72" t="n">
        <v>0</v>
      </c>
      <c r="AB72" t="inlineStr">
        <is>
          <t>7202013002000700</t>
        </is>
      </c>
      <c r="AC72" t="inlineStr">
        <is>
          <t>REJECTED BY Pengawas</t>
        </is>
      </c>
    </row>
    <row r="73">
      <c r="A73" t="inlineStr">
        <is>
          <t>106ca006-8370-4bfe-b849-d7f2d3066a73</t>
        </is>
      </c>
      <c r="B73" t="n">
        <v>72</v>
      </c>
      <c r="C73" t="n">
        <v>2</v>
      </c>
      <c r="D73" t="n">
        <v>13</v>
      </c>
      <c r="E73" t="n">
        <v>4</v>
      </c>
      <c r="F73" t="n">
        <v>1</v>
      </c>
      <c r="G73" t="n">
        <v>0</v>
      </c>
      <c r="H73" t="n">
        <v>26280346</v>
      </c>
      <c r="I73" t="n">
        <v>10219</v>
      </c>
      <c r="J73" t="inlineStr">
        <is>
          <t>Pengolahan dan Pengawetan Ikan dengan Metode Lainnya</t>
        </is>
      </c>
      <c r="M73" t="inlineStr">
        <is>
          <t>Noviyanti F Burahim</t>
        </is>
      </c>
      <c r="N73" t="inlineStr">
        <is>
          <t>Tolisu Toili</t>
        </is>
      </c>
      <c r="Q73" t="inlineStr">
        <is>
          <t>0. Tidak Ditemukan</t>
        </is>
      </c>
      <c r="R73" t="n">
        <v>0</v>
      </c>
      <c r="V73" t="inlineStr">
        <is>
          <t>Pastikan sesuai kondisi lapangan</t>
        </is>
      </c>
      <c r="W73" t="n">
        <v>0</v>
      </c>
      <c r="AB73" t="inlineStr">
        <is>
          <t>7202013004000100</t>
        </is>
      </c>
      <c r="AC73" t="inlineStr">
        <is>
          <t>APPROVED BY Pengawas</t>
        </is>
      </c>
    </row>
    <row r="74">
      <c r="A74" t="inlineStr">
        <is>
          <t>6eef1c8f-8c5b-4def-95f5-e30471e8c5d5</t>
        </is>
      </c>
      <c r="B74" t="n">
        <v>72</v>
      </c>
      <c r="C74" t="n">
        <v>2</v>
      </c>
      <c r="D74" t="n">
        <v>13</v>
      </c>
      <c r="E74" t="n">
        <v>4</v>
      </c>
      <c r="F74" t="n">
        <v>2</v>
      </c>
      <c r="G74" t="n">
        <v>0</v>
      </c>
      <c r="H74" t="n">
        <v>26298818</v>
      </c>
      <c r="I74" t="n">
        <v>10794</v>
      </c>
      <c r="J74" t="inlineStr">
        <is>
          <t>Industri Kerupuk, Keripik, Peyek, dan Sejenisnya</t>
        </is>
      </c>
      <c r="M74" t="inlineStr">
        <is>
          <t>Anna Sulistyowati</t>
        </is>
      </c>
      <c r="N74" t="inlineStr">
        <is>
          <t>Desa Tolisu</t>
        </is>
      </c>
      <c r="Q74" t="inlineStr">
        <is>
          <t>0. Tidak Ditemukan</t>
        </is>
      </c>
      <c r="R74" t="n">
        <v>0</v>
      </c>
      <c r="V74" t="inlineStr">
        <is>
          <t>Pastikan sesuai kondisi lapangan</t>
        </is>
      </c>
      <c r="W74" t="n">
        <v>0</v>
      </c>
      <c r="AB74" t="inlineStr">
        <is>
          <t>7202013004000200</t>
        </is>
      </c>
      <c r="AC74" t="inlineStr">
        <is>
          <t>SUBMITTED BY Pencacah</t>
        </is>
      </c>
    </row>
    <row r="75">
      <c r="A75" t="inlineStr">
        <is>
          <t>1a6ff514-86f6-4443-b1d4-b1338ae5f7be</t>
        </is>
      </c>
      <c r="B75" t="n">
        <v>72</v>
      </c>
      <c r="C75" t="n">
        <v>2</v>
      </c>
      <c r="D75" t="n">
        <v>13</v>
      </c>
      <c r="E75" t="n">
        <v>10</v>
      </c>
      <c r="F75" t="n">
        <v>5</v>
      </c>
      <c r="G75" t="n">
        <v>0</v>
      </c>
      <c r="H75" t="n">
        <v>26298037</v>
      </c>
      <c r="I75" t="n">
        <v>10710</v>
      </c>
      <c r="J75" t="inlineStr">
        <is>
          <t>Industri Produk Bakeri</t>
        </is>
      </c>
      <c r="M75" t="inlineStr">
        <is>
          <t>Winarti Suci Rahayu</t>
        </is>
      </c>
      <c r="N75" t="inlineStr">
        <is>
          <t>Tirta Jaya</t>
        </is>
      </c>
      <c r="Q75" t="inlineStr">
        <is>
          <t>0. Tidak Ditemukan</t>
        </is>
      </c>
      <c r="R75" t="n">
        <v>0</v>
      </c>
      <c r="V75" t="inlineStr">
        <is>
          <t>Pastikan sesuai kondisi lapangan</t>
        </is>
      </c>
      <c r="W75" t="n">
        <v>0</v>
      </c>
      <c r="AB75" t="inlineStr">
        <is>
          <t>7202013010000500</t>
        </is>
      </c>
      <c r="AC75" t="inlineStr">
        <is>
          <t>APPROVED BY Pengawas</t>
        </is>
      </c>
    </row>
    <row r="76">
      <c r="A76" t="inlineStr">
        <is>
          <t>3e0e3289-dd9a-442f-bdb1-2d7c60d8fab0</t>
        </is>
      </c>
      <c r="B76" t="n">
        <v>72</v>
      </c>
      <c r="C76" t="n">
        <v>2</v>
      </c>
      <c r="D76" t="n">
        <v>20</v>
      </c>
      <c r="E76" t="n">
        <v>8</v>
      </c>
      <c r="F76" t="n">
        <v>3</v>
      </c>
      <c r="G76" t="n">
        <v>0</v>
      </c>
      <c r="H76" t="n">
        <v>44257332</v>
      </c>
      <c r="I76" t="n">
        <v>10306</v>
      </c>
      <c r="J76" t="inlineStr">
        <is>
          <t>Pengolahan Sari Buah-buahan dan Sayuran</t>
        </is>
      </c>
      <c r="M76" t="inlineStr">
        <is>
          <t>RAFAH SUKSES GEMILANG</t>
        </is>
      </c>
      <c r="N76" t="inlineStr">
        <is>
          <t xml:space="preserve">Dusun 2 </t>
        </is>
      </c>
      <c r="Q76" t="inlineStr">
        <is>
          <t>0. Tidak Ditemukan</t>
        </is>
      </c>
      <c r="R76" t="n">
        <v>0</v>
      </c>
      <c r="V76" t="inlineStr">
        <is>
          <t>Pastikan sesuai kondisi lapangan</t>
        </is>
      </c>
      <c r="W76" t="n">
        <v>0</v>
      </c>
      <c r="AB76" t="inlineStr">
        <is>
          <t>7202020008000300</t>
        </is>
      </c>
      <c r="AC76" t="inlineStr">
        <is>
          <t>APPROVED BY Pengawas</t>
        </is>
      </c>
    </row>
    <row r="77">
      <c r="A77" t="inlineStr">
        <is>
          <t>02a7a23c-b8e0-4c95-9085-f69b054be5e0</t>
        </is>
      </c>
      <c r="B77" t="n">
        <v>72</v>
      </c>
      <c r="C77" t="n">
        <v>2</v>
      </c>
      <c r="D77" t="n">
        <v>20</v>
      </c>
      <c r="E77" t="n">
        <v>9</v>
      </c>
      <c r="F77" t="n">
        <v>1</v>
      </c>
      <c r="G77" t="n">
        <v>0</v>
      </c>
      <c r="H77" t="n">
        <v>30471738</v>
      </c>
      <c r="I77" t="n">
        <v>10306</v>
      </c>
      <c r="J77" t="inlineStr">
        <is>
          <t>Pengolahan Sari Buah-buahan dan Sayuran</t>
        </is>
      </c>
      <c r="M77" t="inlineStr">
        <is>
          <t>RAHMATIKA ISINI</t>
        </is>
      </c>
      <c r="N77" t="inlineStr">
        <is>
          <t>NOGE</t>
        </is>
      </c>
      <c r="Q77" t="inlineStr">
        <is>
          <t>0. Tidak Ditemukan</t>
        </is>
      </c>
      <c r="R77" t="n">
        <v>0</v>
      </c>
      <c r="V77" t="inlineStr">
        <is>
          <t>Pastikan sesuai kondisi lapangan</t>
        </is>
      </c>
      <c r="W77" t="n">
        <v>0</v>
      </c>
      <c r="AB77" t="inlineStr">
        <is>
          <t>7202020009000100</t>
        </is>
      </c>
      <c r="AC77" t="inlineStr">
        <is>
          <t>SUBMITTED BY Pencacah</t>
        </is>
      </c>
    </row>
    <row r="78">
      <c r="A78" t="inlineStr">
        <is>
          <t>41e0a15e-2408-4a5d-b7af-c06ee9abdc55</t>
        </is>
      </c>
      <c r="B78" t="n">
        <v>72</v>
      </c>
      <c r="C78" t="n">
        <v>2</v>
      </c>
      <c r="D78" t="n">
        <v>20</v>
      </c>
      <c r="E78" t="n">
        <v>9</v>
      </c>
      <c r="F78" t="n">
        <v>5</v>
      </c>
      <c r="G78" t="n">
        <v>0</v>
      </c>
      <c r="H78" t="n">
        <v>26582939</v>
      </c>
      <c r="M78" t="inlineStr">
        <is>
          <t>ANDI EMMA</t>
        </is>
      </c>
      <c r="N78" t="inlineStr">
        <is>
          <t>DESA. NONONG</t>
        </is>
      </c>
      <c r="Q78" t="inlineStr">
        <is>
          <t>0. Tidak Ditemukan</t>
        </is>
      </c>
      <c r="R78" t="n">
        <v>0</v>
      </c>
      <c r="V78" t="inlineStr">
        <is>
          <t>Pastikan sesuai kondisi lapangan</t>
        </is>
      </c>
      <c r="W78" t="n">
        <v>0</v>
      </c>
      <c r="AB78" t="inlineStr">
        <is>
          <t>7202020009000500</t>
        </is>
      </c>
      <c r="AC78" t="inlineStr">
        <is>
          <t>APPROVED BY Pengawas</t>
        </is>
      </c>
    </row>
    <row r="79">
      <c r="A79" t="inlineStr">
        <is>
          <t>33498cac-7ec4-4b67-bd93-09977b98fba5</t>
        </is>
      </c>
      <c r="B79" t="n">
        <v>72</v>
      </c>
      <c r="C79" t="n">
        <v>2</v>
      </c>
      <c r="D79" t="n">
        <v>20</v>
      </c>
      <c r="E79" t="n">
        <v>9</v>
      </c>
      <c r="F79" t="n">
        <v>5</v>
      </c>
      <c r="G79" t="n">
        <v>0</v>
      </c>
      <c r="H79" t="n">
        <v>25907527</v>
      </c>
      <c r="I79" t="n">
        <v>10794</v>
      </c>
      <c r="J79" t="inlineStr">
        <is>
          <t>Industri Kerupuk, Keripik, Peyek, dan Sejenisnya</t>
        </is>
      </c>
      <c r="M79" t="inlineStr">
        <is>
          <t>ANDI ERNAWATI</t>
        </is>
      </c>
      <c r="N79" t="inlineStr">
        <is>
          <t>DSN II NOGE</t>
        </is>
      </c>
      <c r="Q79" t="inlineStr">
        <is>
          <t>0. Tidak Ditemukan</t>
        </is>
      </c>
      <c r="R79" t="n">
        <v>0</v>
      </c>
      <c r="V79" t="inlineStr">
        <is>
          <t>Pastikan sesuai kondisi lapangan</t>
        </is>
      </c>
      <c r="W79" t="n">
        <v>0</v>
      </c>
      <c r="AB79" t="inlineStr">
        <is>
          <t>7202020009000500</t>
        </is>
      </c>
      <c r="AC79" t="inlineStr">
        <is>
          <t>SUBMITTED BY Pencacah</t>
        </is>
      </c>
    </row>
    <row r="80">
      <c r="A80" t="inlineStr">
        <is>
          <t>6ca08b01-b180-4c71-a9fb-a80296aeab23</t>
        </is>
      </c>
      <c r="B80" t="n">
        <v>72</v>
      </c>
      <c r="C80" t="n">
        <v>2</v>
      </c>
      <c r="D80" t="n">
        <v>20</v>
      </c>
      <c r="E80" t="n">
        <v>16</v>
      </c>
      <c r="F80" t="n">
        <v>10</v>
      </c>
      <c r="G80" t="n">
        <v>0</v>
      </c>
      <c r="H80" t="n">
        <v>26756839</v>
      </c>
      <c r="I80" t="n">
        <v>10794</v>
      </c>
      <c r="J80" t="inlineStr">
        <is>
          <t>Industri Kerupuk, Keripik, Peyek, dan Sejenisnya</t>
        </is>
      </c>
      <c r="M80" t="inlineStr">
        <is>
          <t>MUCHLIS ASLAKA</t>
        </is>
      </c>
      <c r="N80" t="inlineStr">
        <is>
          <t>JLN PATTIMURA</t>
        </is>
      </c>
      <c r="Q80" t="inlineStr">
        <is>
          <t>0. Tidak Ditemukan</t>
        </is>
      </c>
      <c r="R80" t="n">
        <v>0</v>
      </c>
      <c r="V80" t="inlineStr">
        <is>
          <t>Pastikan sesuai kondisi lapangan</t>
        </is>
      </c>
      <c r="W80" t="n">
        <v>0</v>
      </c>
      <c r="AB80" t="inlineStr">
        <is>
          <t>7202020016001000</t>
        </is>
      </c>
      <c r="AC80" t="inlineStr">
        <is>
          <t>APPROVED BY Pengawas</t>
        </is>
      </c>
    </row>
    <row r="81">
      <c r="A81" t="inlineStr">
        <is>
          <t>1f5ab012-c0e7-44ce-9c3d-d7eef6f91389</t>
        </is>
      </c>
      <c r="B81" t="n">
        <v>72</v>
      </c>
      <c r="C81" t="n">
        <v>2</v>
      </c>
      <c r="D81" t="n">
        <v>21</v>
      </c>
      <c r="E81" t="n">
        <v>6</v>
      </c>
      <c r="F81" t="n">
        <v>6</v>
      </c>
      <c r="G81" t="n">
        <v>0</v>
      </c>
      <c r="H81" t="n">
        <v>31138737</v>
      </c>
      <c r="I81" t="n">
        <v>10629</v>
      </c>
      <c r="J81" t="inlineStr">
        <is>
          <t>Industri Pati dan Produk Pati Lainnya</t>
        </is>
      </c>
      <c r="M81" t="inlineStr">
        <is>
          <t>Nurdiana Hamatang</t>
        </is>
      </c>
      <c r="N81" t="inlineStr">
        <is>
          <t>Bonebalantak</t>
        </is>
      </c>
      <c r="Q81" t="inlineStr">
        <is>
          <t>0. Tidak Ditemukan</t>
        </is>
      </c>
      <c r="R81" t="n">
        <v>0</v>
      </c>
      <c r="V81" t="inlineStr">
        <is>
          <t>Pastikan sesuai kondisi lapangan</t>
        </is>
      </c>
      <c r="W81" t="n">
        <v>0</v>
      </c>
      <c r="AB81" t="inlineStr">
        <is>
          <t>7202021006000600</t>
        </is>
      </c>
      <c r="AC81" t="inlineStr">
        <is>
          <t>REJECTED BY Pengawas</t>
        </is>
      </c>
    </row>
    <row r="82">
      <c r="A82" t="inlineStr">
        <is>
          <t>aeaa5fa5-1641-4029-a1f6-5863f5afea1e</t>
        </is>
      </c>
      <c r="B82" t="n">
        <v>72</v>
      </c>
      <c r="C82" t="n">
        <v>2</v>
      </c>
      <c r="D82" t="n">
        <v>21</v>
      </c>
      <c r="E82" t="n">
        <v>9</v>
      </c>
      <c r="F82" t="n">
        <v>1</v>
      </c>
      <c r="G82" t="n">
        <v>0</v>
      </c>
      <c r="H82" t="n">
        <v>25728294</v>
      </c>
      <c r="I82" t="n">
        <v>10422</v>
      </c>
      <c r="J82" t="inlineStr">
        <is>
          <t>Industri Minyak Mentah Kelapa</t>
        </is>
      </c>
      <c r="M82" t="inlineStr">
        <is>
          <t>MADIANA HI RUBA</t>
        </is>
      </c>
      <c r="N82" t="inlineStr">
        <is>
          <t>PAISU BOLOLI</t>
        </is>
      </c>
      <c r="Q82" t="inlineStr">
        <is>
          <t>0. Tidak Ditemukan</t>
        </is>
      </c>
      <c r="R82" t="n">
        <v>0</v>
      </c>
      <c r="V82" t="inlineStr">
        <is>
          <t>Pastikan sesuai kondisi lapangan</t>
        </is>
      </c>
      <c r="W82" t="n">
        <v>0</v>
      </c>
      <c r="AB82" t="inlineStr">
        <is>
          <t>7202021009000100</t>
        </is>
      </c>
      <c r="AC82" t="inlineStr">
        <is>
          <t>APPROVED BY Pengawas</t>
        </is>
      </c>
    </row>
    <row r="83">
      <c r="A83" t="inlineStr">
        <is>
          <t>f1dec849-6f09-4e25-81f7-3fe52171b217</t>
        </is>
      </c>
      <c r="B83" t="n">
        <v>72</v>
      </c>
      <c r="C83" t="n">
        <v>2</v>
      </c>
      <c r="D83" t="n">
        <v>21</v>
      </c>
      <c r="E83" t="n">
        <v>9</v>
      </c>
      <c r="F83" t="n">
        <v>1</v>
      </c>
      <c r="G83" t="n">
        <v>0</v>
      </c>
      <c r="H83" t="n">
        <v>31128049</v>
      </c>
      <c r="I83" t="n">
        <v>10629</v>
      </c>
      <c r="J83" t="inlineStr">
        <is>
          <t>Industri Pati dan Produk Pati Lainnya</t>
        </is>
      </c>
      <c r="M83" t="inlineStr">
        <is>
          <t>Zubaeda R Sitok</t>
        </is>
      </c>
      <c r="N83" t="inlineStr">
        <is>
          <t>Paisubololi</t>
        </is>
      </c>
      <c r="Q83" t="inlineStr">
        <is>
          <t>0. Tidak Ditemukan</t>
        </is>
      </c>
      <c r="R83" t="n">
        <v>0</v>
      </c>
      <c r="V83" t="inlineStr">
        <is>
          <t>Pastikan sesuai kondisi lapangan</t>
        </is>
      </c>
      <c r="W83" t="n">
        <v>0</v>
      </c>
      <c r="AB83" t="inlineStr">
        <is>
          <t>7202021009000100</t>
        </is>
      </c>
      <c r="AC83" t="inlineStr">
        <is>
          <t>APPROVED BY Pengawas</t>
        </is>
      </c>
    </row>
    <row r="84">
      <c r="A84" t="inlineStr">
        <is>
          <t>c7a95236-3020-4d6a-803e-cd4baa40e44d</t>
        </is>
      </c>
      <c r="B84" t="n">
        <v>72</v>
      </c>
      <c r="C84" t="n">
        <v>2</v>
      </c>
      <c r="D84" t="n">
        <v>21</v>
      </c>
      <c r="E84" t="n">
        <v>10</v>
      </c>
      <c r="F84" t="n">
        <v>4</v>
      </c>
      <c r="G84" t="n">
        <v>0</v>
      </c>
      <c r="H84" t="n">
        <v>26297777</v>
      </c>
      <c r="I84" t="n">
        <v>10710</v>
      </c>
      <c r="J84" t="inlineStr">
        <is>
          <t>Industri Produk Bakeri</t>
        </is>
      </c>
      <c r="M84" t="inlineStr">
        <is>
          <t>NOVIANA SAFITRI</t>
        </is>
      </c>
      <c r="N84" t="inlineStr">
        <is>
          <t>OMBOLU</t>
        </is>
      </c>
      <c r="Q84" t="inlineStr">
        <is>
          <t>0. Tidak Ditemukan</t>
        </is>
      </c>
      <c r="R84" t="n">
        <v>0</v>
      </c>
      <c r="V84" t="inlineStr">
        <is>
          <t>Pastikan sesuai kondisi lapangan</t>
        </is>
      </c>
      <c r="W84" t="n">
        <v>0</v>
      </c>
      <c r="AB84" t="inlineStr">
        <is>
          <t>7202021010000400</t>
        </is>
      </c>
      <c r="AC84" t="inlineStr">
        <is>
          <t>APPROVED BY Pengawas</t>
        </is>
      </c>
    </row>
    <row r="85">
      <c r="A85" t="inlineStr">
        <is>
          <t>93f6b9e3-563a-4399-99f0-db34f93e1197</t>
        </is>
      </c>
      <c r="B85" t="n">
        <v>72</v>
      </c>
      <c r="C85" t="n">
        <v>2</v>
      </c>
      <c r="D85" t="n">
        <v>31</v>
      </c>
      <c r="E85" t="n">
        <v>1</v>
      </c>
      <c r="F85" t="n">
        <v>3</v>
      </c>
      <c r="G85" t="n">
        <v>0</v>
      </c>
      <c r="H85" t="n">
        <v>31657018</v>
      </c>
      <c r="I85" t="n">
        <v>10794</v>
      </c>
      <c r="J85" t="inlineStr">
        <is>
          <t>Industri Kerupuk, Keripik, Peyek, dan Sejenisnya</t>
        </is>
      </c>
      <c r="M85" t="inlineStr">
        <is>
          <t>SITI MUTIA BALAU</t>
        </is>
      </c>
      <c r="N85" t="inlineStr">
        <is>
          <t>DESA BANGKETA</t>
        </is>
      </c>
      <c r="Q85" t="inlineStr">
        <is>
          <t>0. Tidak Ditemukan</t>
        </is>
      </c>
      <c r="R85" t="n">
        <v>0</v>
      </c>
      <c r="V85" t="inlineStr">
        <is>
          <t>Pastikan sesuai kondisi lapangan</t>
        </is>
      </c>
      <c r="W85" t="n">
        <v>0</v>
      </c>
      <c r="AB85" t="inlineStr">
        <is>
          <t>7202031001000300</t>
        </is>
      </c>
      <c r="AC85" t="inlineStr">
        <is>
          <t>APPROVED BY Pengawas</t>
        </is>
      </c>
    </row>
    <row r="86">
      <c r="A86" t="inlineStr">
        <is>
          <t>e908cf78-94ed-4804-9476-602ef33c910c</t>
        </is>
      </c>
      <c r="B86" t="n">
        <v>72</v>
      </c>
      <c r="C86" t="n">
        <v>2</v>
      </c>
      <c r="D86" t="n">
        <v>31</v>
      </c>
      <c r="E86" t="n">
        <v>6</v>
      </c>
      <c r="F86" t="n">
        <v>1001</v>
      </c>
      <c r="G86" t="n">
        <v>0</v>
      </c>
      <c r="H86" t="n">
        <v>26875142</v>
      </c>
      <c r="I86" t="n">
        <v>20294</v>
      </c>
      <c r="J86" t="inlineStr">
        <is>
          <t>Industri Minyak Asiri Hulu</t>
        </is>
      </c>
      <c r="M86" t="inlineStr">
        <is>
          <t>FEBRI FIRMAN NOVIKA</t>
        </is>
      </c>
      <c r="N86" t="inlineStr">
        <is>
          <t>JAYA MAKMUR</t>
        </is>
      </c>
      <c r="Q86" t="inlineStr">
        <is>
          <t>0. Tidak Ditemukan</t>
        </is>
      </c>
      <c r="R86" t="n">
        <v>0</v>
      </c>
      <c r="V86" t="inlineStr">
        <is>
          <t>Pastikan sesuai kondisi lapangan</t>
        </is>
      </c>
      <c r="W86" t="n">
        <v>0</v>
      </c>
      <c r="AB86" t="inlineStr">
        <is>
          <t>7202031006100100</t>
        </is>
      </c>
      <c r="AC86" t="inlineStr">
        <is>
          <t>APPROVED BY Pengawas</t>
        </is>
      </c>
    </row>
    <row r="87">
      <c r="A87" t="inlineStr">
        <is>
          <t>19bbd1ef-f290-465f-bd50-0bb2c4cc2628</t>
        </is>
      </c>
      <c r="B87" t="n">
        <v>72</v>
      </c>
      <c r="C87" t="n">
        <v>2</v>
      </c>
      <c r="D87" t="n">
        <v>32</v>
      </c>
      <c r="E87" t="n">
        <v>11</v>
      </c>
      <c r="F87" t="n">
        <v>3</v>
      </c>
      <c r="G87" t="n">
        <v>0</v>
      </c>
      <c r="H87" t="n">
        <v>28405169</v>
      </c>
      <c r="I87" t="n">
        <v>10303</v>
      </c>
      <c r="J87" t="inlineStr">
        <is>
          <t>Pengeringan Buah-buahan dan Sayuran</t>
        </is>
      </c>
      <c r="M87" t="inlineStr">
        <is>
          <t>EVA NURWERSTIN</t>
        </is>
      </c>
      <c r="N87" t="inlineStr">
        <is>
          <t>DWIPA KARYA DUSUN 1</t>
        </is>
      </c>
      <c r="Q87" t="inlineStr">
        <is>
          <t>0. Tidak Ditemukan</t>
        </is>
      </c>
      <c r="R87" t="n">
        <v>0</v>
      </c>
      <c r="V87" t="inlineStr">
        <is>
          <t>Pastikan sesuai kondisi lapangan</t>
        </is>
      </c>
      <c r="W87" t="n">
        <v>0</v>
      </c>
      <c r="AB87" t="inlineStr">
        <is>
          <t>7202032011000300</t>
        </is>
      </c>
      <c r="AC87" t="inlineStr">
        <is>
          <t>APPROVED BY Pengawas</t>
        </is>
      </c>
    </row>
    <row r="88">
      <c r="A88" t="inlineStr">
        <is>
          <t>f4777d10-f72c-4440-a59c-b0c44e88c667</t>
        </is>
      </c>
      <c r="B88" t="n">
        <v>72</v>
      </c>
      <c r="C88" t="n">
        <v>2</v>
      </c>
      <c r="D88" t="n">
        <v>40</v>
      </c>
      <c r="E88" t="n">
        <v>7</v>
      </c>
      <c r="F88" t="n">
        <v>3</v>
      </c>
      <c r="G88" t="n">
        <v>0</v>
      </c>
      <c r="H88" t="n">
        <v>31877099</v>
      </c>
      <c r="I88" t="n">
        <v>10710</v>
      </c>
      <c r="J88" t="inlineStr">
        <is>
          <t>Industri Produk Bakeri</t>
        </is>
      </c>
      <c r="M88" t="inlineStr">
        <is>
          <t>ENDANG SUHARTINI PAWATA</t>
        </is>
      </c>
      <c r="N88" t="inlineStr">
        <is>
          <t>JL. TANJUNG SANTIGI</t>
        </is>
      </c>
      <c r="Q88" t="inlineStr">
        <is>
          <t>0. Tidak Ditemukan</t>
        </is>
      </c>
      <c r="R88" t="n">
        <v>0</v>
      </c>
      <c r="V88" t="inlineStr">
        <is>
          <t>Pastikan sesuai kondisi lapangan</t>
        </is>
      </c>
      <c r="W88" t="n">
        <v>0</v>
      </c>
      <c r="AB88" t="inlineStr">
        <is>
          <t>7202040007000300</t>
        </is>
      </c>
      <c r="AC88" t="inlineStr">
        <is>
          <t>APPROVED BY Pengawas</t>
        </is>
      </c>
    </row>
    <row r="89">
      <c r="A89" t="inlineStr">
        <is>
          <t>ff0b7ade-2e25-4a15-8be5-1920407d9d79</t>
        </is>
      </c>
      <c r="B89" t="n">
        <v>72</v>
      </c>
      <c r="C89" t="n">
        <v>2</v>
      </c>
      <c r="D89" t="n">
        <v>40</v>
      </c>
      <c r="E89" t="n">
        <v>19</v>
      </c>
      <c r="F89" t="n">
        <v>3</v>
      </c>
      <c r="G89" t="n">
        <v>0</v>
      </c>
      <c r="H89" t="n">
        <v>31357504</v>
      </c>
      <c r="I89" t="n">
        <v>10779</v>
      </c>
      <c r="J89" t="inlineStr">
        <is>
          <t>Industri Bumbu Masakan Lainnya</t>
        </is>
      </c>
      <c r="M89" t="inlineStr">
        <is>
          <t>RASMA ANDAPA</t>
        </is>
      </c>
      <c r="N89" t="inlineStr">
        <is>
          <t>DIMPALON BRU</t>
        </is>
      </c>
      <c r="Q89" t="inlineStr">
        <is>
          <t>0. Tidak Ditemukan</t>
        </is>
      </c>
      <c r="R89" t="n">
        <v>0</v>
      </c>
      <c r="V89" t="inlineStr">
        <is>
          <t>Pastikan sesuai kondisi lapangan</t>
        </is>
      </c>
      <c r="W89" t="n">
        <v>0</v>
      </c>
      <c r="AB89" t="inlineStr">
        <is>
          <t>7202040019000300</t>
        </is>
      </c>
      <c r="AC89" t="inlineStr">
        <is>
          <t>APPROVED BY Pengawas</t>
        </is>
      </c>
    </row>
    <row r="90">
      <c r="A90" t="inlineStr">
        <is>
          <t>edd0a787-79aa-433d-a39e-f4900e00a65e</t>
        </is>
      </c>
      <c r="B90" t="n">
        <v>72</v>
      </c>
      <c r="C90" t="n">
        <v>2</v>
      </c>
      <c r="D90" t="n">
        <v>50</v>
      </c>
      <c r="E90" t="n">
        <v>8</v>
      </c>
      <c r="F90" t="n">
        <v>2</v>
      </c>
      <c r="G90" t="n">
        <v>1</v>
      </c>
      <c r="H90" t="n">
        <v>30376479</v>
      </c>
      <c r="I90" t="n">
        <v>10794</v>
      </c>
      <c r="J90" t="inlineStr">
        <is>
          <t>Industri Kerupuk, Keripik, Peyek, dan Sejenisnya</t>
        </is>
      </c>
      <c r="K90" t="n">
        <v>10799</v>
      </c>
      <c r="L90" t="inlineStr">
        <is>
          <t>Industri Produk Makanan Lainnya YTDL</t>
        </is>
      </c>
      <c r="M90" t="inlineStr">
        <is>
          <t>MY BERKAH MAYA HASAN</t>
        </is>
      </c>
      <c r="N90" t="inlineStr">
        <is>
          <t>LORONG MEKAR INDAH -</t>
        </is>
      </c>
      <c r="P90" t="inlineStr">
        <is>
          <t>7201**********01</t>
        </is>
      </c>
      <c r="Q90" t="inlineStr">
        <is>
          <t>1. Ditemukan</t>
        </is>
      </c>
      <c r="R90" t="n">
        <v>1</v>
      </c>
      <c r="S90" t="inlineStr">
        <is>
          <t xml:space="preserve">1. Ya, oleh BPOM </t>
        </is>
      </c>
      <c r="T90" t="n">
        <v>1</v>
      </c>
      <c r="U90" t="n">
        <v>0</v>
      </c>
      <c r="W90" t="n">
        <v>1</v>
      </c>
      <c r="AB90" t="inlineStr">
        <is>
          <t>7202050008000201</t>
        </is>
      </c>
      <c r="AC90" t="inlineStr">
        <is>
          <t>SUBMITTED BY Pencacah</t>
        </is>
      </c>
    </row>
    <row r="91">
      <c r="A91" t="inlineStr">
        <is>
          <t>e09fa07c-7b0c-4068-a7cf-1f1daa848ba2</t>
        </is>
      </c>
      <c r="B91" t="n">
        <v>72</v>
      </c>
      <c r="C91" t="n">
        <v>2</v>
      </c>
      <c r="D91" t="n">
        <v>50</v>
      </c>
      <c r="E91" t="n">
        <v>9</v>
      </c>
      <c r="F91" t="n">
        <v>15</v>
      </c>
      <c r="G91" t="n">
        <v>0</v>
      </c>
      <c r="H91" t="n">
        <v>27164476</v>
      </c>
      <c r="M91" t="inlineStr">
        <is>
          <t>RATNA PANGEMANAN</t>
        </is>
      </c>
      <c r="N91" t="inlineStr">
        <is>
          <t>JL. P. ANTASARI NO. 17</t>
        </is>
      </c>
      <c r="Q91" t="inlineStr">
        <is>
          <t>0. Tidak Ditemukan</t>
        </is>
      </c>
      <c r="R91" t="n">
        <v>0</v>
      </c>
      <c r="V91" t="inlineStr">
        <is>
          <t>Pastikan sesuai kondisi lapangan</t>
        </is>
      </c>
      <c r="W91" t="n">
        <v>0</v>
      </c>
      <c r="AB91" t="inlineStr">
        <is>
          <t>7202050009001500</t>
        </is>
      </c>
      <c r="AC91" t="inlineStr">
        <is>
          <t>SUBMITTED BY Pencacah</t>
        </is>
      </c>
    </row>
    <row r="92">
      <c r="A92" t="inlineStr">
        <is>
          <t>91c21df1-6199-43b3-a0eb-19dc7ad22fbd</t>
        </is>
      </c>
      <c r="B92" t="n">
        <v>72</v>
      </c>
      <c r="C92" t="n">
        <v>2</v>
      </c>
      <c r="D92" t="n">
        <v>50</v>
      </c>
      <c r="E92" t="n">
        <v>9</v>
      </c>
      <c r="F92" t="n">
        <v>23</v>
      </c>
      <c r="G92" t="n">
        <v>0</v>
      </c>
      <c r="H92" t="n">
        <v>28098134</v>
      </c>
      <c r="I92" t="n">
        <v>10710</v>
      </c>
      <c r="J92" t="inlineStr">
        <is>
          <t>Industri Produk Bakeri</t>
        </is>
      </c>
      <c r="M92" t="inlineStr">
        <is>
          <t>DHEA NAIFAH HARYONO</t>
        </is>
      </c>
      <c r="N92" t="inlineStr">
        <is>
          <t>JL. DATU ADAM</t>
        </is>
      </c>
      <c r="Q92" t="inlineStr">
        <is>
          <t>0. Tidak Ditemukan</t>
        </is>
      </c>
      <c r="R92" t="n">
        <v>0</v>
      </c>
      <c r="V92" t="inlineStr">
        <is>
          <t>Pastikan sesuai kondisi lapangan</t>
        </is>
      </c>
      <c r="W92" t="n">
        <v>0</v>
      </c>
      <c r="AB92" t="inlineStr">
        <is>
          <t>7202050009002300</t>
        </is>
      </c>
      <c r="AC92" t="inlineStr">
        <is>
          <t>APPROVED BY Pengawas</t>
        </is>
      </c>
    </row>
    <row r="93">
      <c r="A93" t="inlineStr">
        <is>
          <t>9267e378-9cb7-454b-b6a8-eed83dd1284a</t>
        </is>
      </c>
      <c r="B93" t="n">
        <v>72</v>
      </c>
      <c r="C93" t="n">
        <v>2</v>
      </c>
      <c r="D93" t="n">
        <v>50</v>
      </c>
      <c r="E93" t="n">
        <v>10</v>
      </c>
      <c r="F93" t="n">
        <v>1</v>
      </c>
      <c r="G93" t="n">
        <v>0</v>
      </c>
      <c r="H93" t="n">
        <v>32180680</v>
      </c>
      <c r="I93" t="n">
        <v>10301</v>
      </c>
      <c r="J93" t="inlineStr">
        <is>
          <t>Pengasinan Buah-buahan dan Sayuran</t>
        </is>
      </c>
      <c r="K93" t="n">
        <v>10794</v>
      </c>
      <c r="L93" t="inlineStr">
        <is>
          <t>Industri Kerupuk, Keripik, Peyek, dan Sejenisnya</t>
        </is>
      </c>
      <c r="M93" t="inlineStr">
        <is>
          <t>PISANG SALEH</t>
        </is>
      </c>
      <c r="N93" t="inlineStr">
        <is>
          <t xml:space="preserve">JLN TEMBUS KEL BARU </t>
        </is>
      </c>
      <c r="P93" t="inlineStr">
        <is>
          <t>7201**********04</t>
        </is>
      </c>
      <c r="Q93" t="inlineStr">
        <is>
          <t>1. Ditemukan</t>
        </is>
      </c>
      <c r="R93" t="n">
        <v>1</v>
      </c>
      <c r="S93" t="inlineStr">
        <is>
          <t xml:space="preserve">1. Ya, oleh BPOM </t>
        </is>
      </c>
      <c r="T93" t="n">
        <v>1</v>
      </c>
      <c r="U93" t="n">
        <v>0</v>
      </c>
      <c r="W93" t="n">
        <v>1</v>
      </c>
      <c r="AB93" t="inlineStr">
        <is>
          <t>7202050010000100</t>
        </is>
      </c>
      <c r="AC93" t="inlineStr">
        <is>
          <t>SUBMITTED BY Pencacah</t>
        </is>
      </c>
    </row>
    <row r="94">
      <c r="A94" t="inlineStr">
        <is>
          <t>50c3cdb0-2351-4458-908a-e1fed682c785</t>
        </is>
      </c>
      <c r="B94" t="n">
        <v>72</v>
      </c>
      <c r="C94" t="n">
        <v>2</v>
      </c>
      <c r="D94" t="n">
        <v>50</v>
      </c>
      <c r="E94" t="n">
        <v>10</v>
      </c>
      <c r="F94" t="n">
        <v>7</v>
      </c>
      <c r="G94" t="n">
        <v>0</v>
      </c>
      <c r="H94" t="n">
        <v>30288249</v>
      </c>
      <c r="I94" t="n">
        <v>10710</v>
      </c>
      <c r="J94" t="inlineStr">
        <is>
          <t>Industri Produk Bakeri</t>
        </is>
      </c>
      <c r="M94" t="inlineStr">
        <is>
          <t>NURI ASNI</t>
        </is>
      </c>
      <c r="N94" t="inlineStr">
        <is>
          <t>JL G.LOMPOBATANG, KEL.:BARU, KAC: LUWUK</t>
        </is>
      </c>
      <c r="Q94" t="inlineStr">
        <is>
          <t>0. Tidak Ditemukan</t>
        </is>
      </c>
      <c r="R94" t="n">
        <v>0</v>
      </c>
      <c r="V94" t="inlineStr">
        <is>
          <t>Pastikan sesuai kondisi lapangan</t>
        </is>
      </c>
      <c r="W94" t="n">
        <v>0</v>
      </c>
      <c r="AB94" t="inlineStr">
        <is>
          <t>7202050010000700</t>
        </is>
      </c>
      <c r="AC94" t="inlineStr">
        <is>
          <t>APPROVED BY Pengawas</t>
        </is>
      </c>
    </row>
    <row r="95">
      <c r="A95" t="inlineStr">
        <is>
          <t>b34a5588-5dcf-42d9-abcc-789b1ac666b2</t>
        </is>
      </c>
      <c r="B95" t="n">
        <v>72</v>
      </c>
      <c r="C95" t="n">
        <v>2</v>
      </c>
      <c r="D95" t="n">
        <v>50</v>
      </c>
      <c r="E95" t="n">
        <v>10</v>
      </c>
      <c r="F95" t="n">
        <v>11</v>
      </c>
      <c r="G95" t="n">
        <v>0</v>
      </c>
      <c r="H95" t="n">
        <v>26541302</v>
      </c>
      <c r="I95" t="n">
        <v>10794</v>
      </c>
      <c r="J95" t="inlineStr">
        <is>
          <t>Industri Kerupuk, Keripik, Peyek, dan Sejenisnya</t>
        </is>
      </c>
      <c r="M95" t="inlineStr">
        <is>
          <t>NORMA PATAWE</t>
        </is>
      </c>
      <c r="N95" t="inlineStr">
        <is>
          <t>JL. G. JULUTUMPU</t>
        </is>
      </c>
      <c r="Q95" t="inlineStr">
        <is>
          <t>0. Tidak Ditemukan</t>
        </is>
      </c>
      <c r="R95" t="n">
        <v>0</v>
      </c>
      <c r="V95" t="inlineStr">
        <is>
          <t>Pastikan sesuai kondisi lapangan</t>
        </is>
      </c>
      <c r="W95" t="n">
        <v>0</v>
      </c>
      <c r="AB95" t="inlineStr">
        <is>
          <t>7202050010001100</t>
        </is>
      </c>
      <c r="AC95" t="inlineStr">
        <is>
          <t>SUBMITTED BY Pencacah</t>
        </is>
      </c>
    </row>
    <row r="96">
      <c r="A96" t="inlineStr">
        <is>
          <t>3a13dc8e-73cd-462d-958d-6df64c230099</t>
        </is>
      </c>
      <c r="B96" t="n">
        <v>72</v>
      </c>
      <c r="C96" t="n">
        <v>2</v>
      </c>
      <c r="D96" t="n">
        <v>50</v>
      </c>
      <c r="E96" t="n">
        <v>11</v>
      </c>
      <c r="F96" t="n">
        <v>2</v>
      </c>
      <c r="G96" t="n">
        <v>0</v>
      </c>
      <c r="H96" t="n">
        <v>30586347</v>
      </c>
      <c r="I96" t="n">
        <v>10794</v>
      </c>
      <c r="J96" t="inlineStr">
        <is>
          <t>Industri Kerupuk, Keripik, Peyek, dan Sejenisnya</t>
        </is>
      </c>
      <c r="M96" t="inlineStr">
        <is>
          <t>HAJRA DAMANG</t>
        </is>
      </c>
      <c r="N96" t="inlineStr">
        <is>
          <t>JL. SUNGAI LAMBANGAN NO. 12</t>
        </is>
      </c>
      <c r="Q96" t="inlineStr">
        <is>
          <t>0. Tidak Ditemukan</t>
        </is>
      </c>
      <c r="R96" t="n">
        <v>0</v>
      </c>
      <c r="V96" t="inlineStr">
        <is>
          <t>Pastikan sesuai kondisi lapangan</t>
        </is>
      </c>
      <c r="W96" t="n">
        <v>0</v>
      </c>
      <c r="AB96" t="inlineStr">
        <is>
          <t>7202050011000200</t>
        </is>
      </c>
      <c r="AC96" t="inlineStr">
        <is>
          <t>APPROVED BY Pengawas</t>
        </is>
      </c>
    </row>
    <row r="97">
      <c r="A97" t="inlineStr">
        <is>
          <t>3e431561-2aa8-482b-808e-36bfd9f495dd</t>
        </is>
      </c>
      <c r="B97" t="n">
        <v>72</v>
      </c>
      <c r="C97" t="n">
        <v>2</v>
      </c>
      <c r="D97" t="n">
        <v>50</v>
      </c>
      <c r="E97" t="n">
        <v>11</v>
      </c>
      <c r="F97" t="n">
        <v>2</v>
      </c>
      <c r="G97" t="n">
        <v>0</v>
      </c>
      <c r="H97" t="n">
        <v>29228662</v>
      </c>
      <c r="I97" t="n">
        <v>10710</v>
      </c>
      <c r="J97" t="inlineStr">
        <is>
          <t>Industri Produk Bakeri</t>
        </is>
      </c>
      <c r="M97" t="inlineStr">
        <is>
          <t>SHINTA DEWI ANGRAINI</t>
        </is>
      </c>
      <c r="N97" t="inlineStr">
        <is>
          <t>JL. S. ASAAN NO.23</t>
        </is>
      </c>
      <c r="Q97" t="inlineStr">
        <is>
          <t>0. Tidak Ditemukan</t>
        </is>
      </c>
      <c r="R97" t="n">
        <v>0</v>
      </c>
      <c r="V97" t="inlineStr">
        <is>
          <t>Pastikan sesuai kondisi lapangan</t>
        </is>
      </c>
      <c r="W97" t="n">
        <v>0</v>
      </c>
      <c r="AB97" t="inlineStr">
        <is>
          <t>7202050011000200</t>
        </is>
      </c>
      <c r="AC97" t="inlineStr">
        <is>
          <t>APPROVED BY Pengawas</t>
        </is>
      </c>
    </row>
    <row r="98">
      <c r="A98" t="inlineStr">
        <is>
          <t>ce52c510-453a-4133-ab58-8325948f7ba3</t>
        </is>
      </c>
      <c r="B98" t="n">
        <v>72</v>
      </c>
      <c r="C98" t="n">
        <v>2</v>
      </c>
      <c r="D98" t="n">
        <v>50</v>
      </c>
      <c r="E98" t="n">
        <v>11</v>
      </c>
      <c r="F98" t="n">
        <v>2</v>
      </c>
      <c r="G98" t="n">
        <v>0</v>
      </c>
      <c r="H98" t="n">
        <v>30328418</v>
      </c>
      <c r="I98" t="n">
        <v>10710</v>
      </c>
      <c r="J98" t="inlineStr">
        <is>
          <t>Industri Produk Bakeri</t>
        </is>
      </c>
      <c r="K98" t="n">
        <v>56304</v>
      </c>
      <c r="L98" t="inlineStr">
        <is>
          <t>Aktivitas Kedai Minuman</t>
        </is>
      </c>
      <c r="M98" t="inlineStr">
        <is>
          <t>WARUNG AMINAH</t>
        </is>
      </c>
      <c r="N98" t="inlineStr">
        <is>
          <t>JL SUNGAI LAMBANGAN</t>
        </is>
      </c>
      <c r="P98" t="inlineStr">
        <is>
          <t>7271**********01</t>
        </is>
      </c>
      <c r="Q98" t="inlineStr">
        <is>
          <t>1. Ditemukan</t>
        </is>
      </c>
      <c r="R98" t="n">
        <v>1</v>
      </c>
      <c r="V98" t="inlineStr">
        <is>
          <t>Pastikan kode KBLI sesuai dengan kode KBLI cakupan BPOM yang tertera dalam buku Pedoman</t>
        </is>
      </c>
      <c r="W98" t="n">
        <v>0</v>
      </c>
      <c r="AB98" t="inlineStr">
        <is>
          <t>7202050011000200</t>
        </is>
      </c>
      <c r="AC98" t="inlineStr">
        <is>
          <t>REVOKED BY Pengawas</t>
        </is>
      </c>
    </row>
    <row r="99">
      <c r="A99" t="inlineStr">
        <is>
          <t>a4d5f1d0-e584-4abc-8e2d-28e2ba01b96b</t>
        </is>
      </c>
      <c r="B99" t="n">
        <v>72</v>
      </c>
      <c r="C99" t="n">
        <v>2</v>
      </c>
      <c r="D99" t="n">
        <v>50</v>
      </c>
      <c r="E99" t="n">
        <v>12</v>
      </c>
      <c r="F99" t="n">
        <v>1</v>
      </c>
      <c r="G99" t="n">
        <v>0</v>
      </c>
      <c r="H99" t="n">
        <v>28464192</v>
      </c>
      <c r="I99" t="n">
        <v>10504</v>
      </c>
      <c r="J99" t="inlineStr">
        <is>
          <t>Industri Es yang Dapat Dimakan dan Es Pencuci Mulut</t>
        </is>
      </c>
      <c r="M99" t="inlineStr">
        <is>
          <t>LAILA BADJARAT</t>
        </is>
      </c>
      <c r="N99" t="inlineStr">
        <is>
          <t>JL. W. MARAMIS</t>
        </is>
      </c>
      <c r="Q99" t="inlineStr">
        <is>
          <t>0. Tidak Ditemukan</t>
        </is>
      </c>
      <c r="R99" t="n">
        <v>0</v>
      </c>
      <c r="V99" t="inlineStr">
        <is>
          <t>Pastikan sesuai kondisi lapangan</t>
        </is>
      </c>
      <c r="W99" t="n">
        <v>0</v>
      </c>
      <c r="AB99" t="inlineStr">
        <is>
          <t>7202050012000100</t>
        </is>
      </c>
      <c r="AC99" t="inlineStr">
        <is>
          <t>SUBMITTED BY Pencacah</t>
        </is>
      </c>
    </row>
    <row r="100">
      <c r="A100" t="inlineStr">
        <is>
          <t>55189b62-5ed5-413d-9f55-dbc637786b48</t>
        </is>
      </c>
      <c r="B100" t="n">
        <v>72</v>
      </c>
      <c r="C100" t="n">
        <v>2</v>
      </c>
      <c r="D100" t="n">
        <v>50</v>
      </c>
      <c r="E100" t="n">
        <v>12</v>
      </c>
      <c r="F100" t="n">
        <v>3</v>
      </c>
      <c r="G100" t="n">
        <v>0</v>
      </c>
      <c r="H100" t="n">
        <v>32393877</v>
      </c>
      <c r="I100" t="n">
        <v>10710</v>
      </c>
      <c r="J100" t="inlineStr">
        <is>
          <t>Industri Produk Bakeri</t>
        </is>
      </c>
      <c r="M100" t="inlineStr">
        <is>
          <t>ERNISA L MARALI</t>
        </is>
      </c>
      <c r="N100" t="inlineStr">
        <is>
          <t>JL. IMAM BONJOL</t>
        </is>
      </c>
      <c r="Q100" t="inlineStr">
        <is>
          <t>0. Tidak Ditemukan</t>
        </is>
      </c>
      <c r="R100" t="n">
        <v>0</v>
      </c>
      <c r="V100" t="inlineStr">
        <is>
          <t>Pastikan sesuai kondisi lapangan</t>
        </is>
      </c>
      <c r="W100" t="n">
        <v>0</v>
      </c>
      <c r="AB100" t="inlineStr">
        <is>
          <t>7202050012000300</t>
        </is>
      </c>
      <c r="AC100" t="inlineStr">
        <is>
          <t>APPROVED BY Pengawas</t>
        </is>
      </c>
    </row>
    <row r="101">
      <c r="A101" t="inlineStr">
        <is>
          <t>f432ca9d-d16d-4a4c-a7b7-8e5a69169185</t>
        </is>
      </c>
      <c r="B101" t="n">
        <v>72</v>
      </c>
      <c r="C101" t="n">
        <v>2</v>
      </c>
      <c r="D101" t="n">
        <v>50</v>
      </c>
      <c r="E101" t="n">
        <v>12</v>
      </c>
      <c r="F101" t="n">
        <v>10</v>
      </c>
      <c r="G101" t="n">
        <v>0</v>
      </c>
      <c r="H101" t="n">
        <v>31569257</v>
      </c>
      <c r="I101" t="n">
        <v>47249</v>
      </c>
      <c r="J101" t="inlineStr">
        <is>
          <t>Perdagangan Eceran Makanan Lainnya</t>
        </is>
      </c>
      <c r="M101" t="inlineStr">
        <is>
          <t>IIN SETYONO</t>
        </is>
      </c>
      <c r="N101" t="inlineStr">
        <is>
          <t>JLN. BARU</t>
        </is>
      </c>
      <c r="Q101" t="inlineStr">
        <is>
          <t>0. Tidak Ditemukan</t>
        </is>
      </c>
      <c r="R101" t="n">
        <v>0</v>
      </c>
      <c r="V101" t="inlineStr">
        <is>
          <t>Pastikan sesuai kondisi lapangan</t>
        </is>
      </c>
      <c r="W101" t="n">
        <v>0</v>
      </c>
      <c r="AB101" t="inlineStr">
        <is>
          <t>7202050012001000</t>
        </is>
      </c>
      <c r="AC101" t="inlineStr">
        <is>
          <t>APPROVED BY Pengawas</t>
        </is>
      </c>
    </row>
    <row r="102">
      <c r="A102" t="inlineStr">
        <is>
          <t>dbfcf1e6-13f4-4132-aea3-b4f6147bc9ec</t>
        </is>
      </c>
      <c r="B102" t="n">
        <v>72</v>
      </c>
      <c r="C102" t="n">
        <v>2</v>
      </c>
      <c r="D102" t="n">
        <v>50</v>
      </c>
      <c r="E102" t="n">
        <v>23</v>
      </c>
      <c r="F102" t="n">
        <v>1</v>
      </c>
      <c r="G102" t="n">
        <v>0</v>
      </c>
      <c r="H102" t="n">
        <v>3264159</v>
      </c>
      <c r="I102" t="n">
        <v>47732</v>
      </c>
      <c r="J102" t="inlineStr">
        <is>
          <t>Perdagangan Eceran Alat Optik dan Perlengkapannya</t>
        </is>
      </c>
      <c r="M102" t="inlineStr">
        <is>
          <t>CINTA FARMA LUWUK</t>
        </is>
      </c>
      <c r="N102" t="inlineStr">
        <is>
          <t>JALAN R.E MARTADINATA</t>
        </is>
      </c>
      <c r="Q102" t="inlineStr">
        <is>
          <t>0. Tidak Ditemukan</t>
        </is>
      </c>
      <c r="R102" t="n">
        <v>0</v>
      </c>
      <c r="V102" t="inlineStr">
        <is>
          <t>Pastikan sesuai kondisi lapangan</t>
        </is>
      </c>
      <c r="W102" t="n">
        <v>0</v>
      </c>
      <c r="AB102" t="inlineStr">
        <is>
          <t>7202050023000100</t>
        </is>
      </c>
      <c r="AC102" t="inlineStr">
        <is>
          <t>SUBMITTED BY Pencacah</t>
        </is>
      </c>
    </row>
    <row r="103">
      <c r="A103" t="inlineStr">
        <is>
          <t>3cc49c23-2d01-406d-b26b-1248b79795a1</t>
        </is>
      </c>
      <c r="B103" t="n">
        <v>72</v>
      </c>
      <c r="C103" t="n">
        <v>2</v>
      </c>
      <c r="D103" t="n">
        <v>50</v>
      </c>
      <c r="E103" t="n">
        <v>23</v>
      </c>
      <c r="F103" t="n">
        <v>2</v>
      </c>
      <c r="G103" t="n">
        <v>0</v>
      </c>
      <c r="H103" t="n">
        <v>27674052</v>
      </c>
      <c r="I103" t="n">
        <v>10710</v>
      </c>
      <c r="J103" t="inlineStr">
        <is>
          <t>Industri Produk Bakeri</t>
        </is>
      </c>
      <c r="K103" t="n">
        <v>10710</v>
      </c>
      <c r="L103" t="inlineStr">
        <is>
          <t>Industri Produk Bakeri</t>
        </is>
      </c>
      <c r="M103" t="inlineStr">
        <is>
          <t>KUE TANTE INANG</t>
        </is>
      </c>
      <c r="N103" t="inlineStr">
        <is>
          <t>JALAN BRANJANGAN</t>
        </is>
      </c>
      <c r="P103" t="inlineStr">
        <is>
          <t>7201**********03</t>
        </is>
      </c>
      <c r="Q103" t="inlineStr">
        <is>
          <t>1. Ditemukan</t>
        </is>
      </c>
      <c r="R103" t="n">
        <v>1</v>
      </c>
      <c r="S103" t="inlineStr">
        <is>
          <t>2. Ya, bukan oleh BPOM</t>
        </is>
      </c>
      <c r="U103" t="n">
        <v>12</v>
      </c>
      <c r="W103" t="n">
        <v>1</v>
      </c>
      <c r="AB103" t="inlineStr">
        <is>
          <t>7202050023000200</t>
        </is>
      </c>
      <c r="AC103" t="inlineStr">
        <is>
          <t>SUBMITTED BY Pencacah</t>
        </is>
      </c>
    </row>
    <row r="104">
      <c r="A104" t="inlineStr">
        <is>
          <t>d2194970-daf0-47f2-9aef-295c1568aa40</t>
        </is>
      </c>
      <c r="B104" t="n">
        <v>72</v>
      </c>
      <c r="C104" t="n">
        <v>2</v>
      </c>
      <c r="D104" t="n">
        <v>50</v>
      </c>
      <c r="E104" t="n">
        <v>25</v>
      </c>
      <c r="F104" t="n">
        <v>6</v>
      </c>
      <c r="G104" t="n">
        <v>0</v>
      </c>
      <c r="H104" t="n">
        <v>31477604</v>
      </c>
      <c r="I104" t="n">
        <v>10710</v>
      </c>
      <c r="J104" t="inlineStr">
        <is>
          <t>Industri Produk Bakeri</t>
        </is>
      </c>
      <c r="M104" t="inlineStr">
        <is>
          <t>RANITA ISMAYA NURDIN</t>
        </is>
      </c>
      <c r="N104" t="inlineStr">
        <is>
          <t>JL. T. SAHUNA</t>
        </is>
      </c>
      <c r="Q104" t="inlineStr">
        <is>
          <t>0. Tidak Ditemukan</t>
        </is>
      </c>
      <c r="R104" t="n">
        <v>0</v>
      </c>
      <c r="V104" t="inlineStr">
        <is>
          <t>Pastikan sesuai kondisi lapangan</t>
        </is>
      </c>
      <c r="W104" t="n">
        <v>0</v>
      </c>
      <c r="AB104" t="inlineStr">
        <is>
          <t>7202050025000600</t>
        </is>
      </c>
      <c r="AC104" t="inlineStr">
        <is>
          <t>SUBMITTED BY Pencacah</t>
        </is>
      </c>
    </row>
    <row r="105">
      <c r="A105" t="inlineStr">
        <is>
          <t>bc788a9d-fe24-441b-9cba-16732fb7be09</t>
        </is>
      </c>
      <c r="B105" t="n">
        <v>72</v>
      </c>
      <c r="C105" t="n">
        <v>2</v>
      </c>
      <c r="D105" t="n">
        <v>50</v>
      </c>
      <c r="E105" t="n">
        <v>26</v>
      </c>
      <c r="F105" t="n">
        <v>2</v>
      </c>
      <c r="G105" t="n">
        <v>1</v>
      </c>
      <c r="H105" t="n">
        <v>29779559</v>
      </c>
      <c r="I105" t="n">
        <v>10710</v>
      </c>
      <c r="J105" t="inlineStr">
        <is>
          <t>Industri Produk Bakeri</t>
        </is>
      </c>
      <c r="M105" t="inlineStr">
        <is>
          <t>NOVIYANTI HUDA</t>
        </is>
      </c>
      <c r="N105" t="inlineStr">
        <is>
          <t>JL. IMAM BONJOL NO.50</t>
        </is>
      </c>
      <c r="Q105" t="inlineStr">
        <is>
          <t>0. Tidak Ditemukan</t>
        </is>
      </c>
      <c r="R105" t="n">
        <v>0</v>
      </c>
      <c r="V105" t="inlineStr">
        <is>
          <t>Pastikan sesuai kondisi lapangan</t>
        </is>
      </c>
      <c r="W105" t="n">
        <v>0</v>
      </c>
      <c r="AB105" t="inlineStr">
        <is>
          <t>7202050026000201</t>
        </is>
      </c>
      <c r="AC105" t="inlineStr">
        <is>
          <t>APPROVED BY Pengawas</t>
        </is>
      </c>
    </row>
    <row r="106">
      <c r="A106" t="inlineStr">
        <is>
          <t>667a99b5-f61a-4745-8f4e-72c948927122</t>
        </is>
      </c>
      <c r="B106" t="n">
        <v>72</v>
      </c>
      <c r="C106" t="n">
        <v>2</v>
      </c>
      <c r="D106" t="n">
        <v>50</v>
      </c>
      <c r="E106" t="n">
        <v>27</v>
      </c>
      <c r="F106" t="n">
        <v>3</v>
      </c>
      <c r="G106" t="n">
        <v>0</v>
      </c>
      <c r="H106" t="n">
        <v>30512888</v>
      </c>
      <c r="I106" t="n">
        <v>10750</v>
      </c>
      <c r="J106" t="inlineStr">
        <is>
          <t>Industri Makanan dan Masakan Olahan</t>
        </is>
      </c>
      <c r="M106" t="inlineStr">
        <is>
          <t>ERNAWATI LIMTUDEL TJANDRA</t>
        </is>
      </c>
      <c r="N106" t="inlineStr">
        <is>
          <t>JL. GUNUNG COLO</t>
        </is>
      </c>
      <c r="Q106" t="inlineStr">
        <is>
          <t>0. Tidak Ditemukan</t>
        </is>
      </c>
      <c r="R106" t="n">
        <v>0</v>
      </c>
      <c r="V106" t="inlineStr">
        <is>
          <t>Pastikan sesuai kondisi lapangan</t>
        </is>
      </c>
      <c r="W106" t="n">
        <v>0</v>
      </c>
      <c r="AB106" t="inlineStr">
        <is>
          <t>7202050027000300</t>
        </is>
      </c>
      <c r="AC106" t="inlineStr">
        <is>
          <t>SUBMITTED BY Pencacah</t>
        </is>
      </c>
    </row>
    <row r="107">
      <c r="A107" t="inlineStr">
        <is>
          <t>2094174b-d614-4159-ad53-6a0d0ae4d94d</t>
        </is>
      </c>
      <c r="B107" t="n">
        <v>72</v>
      </c>
      <c r="C107" t="n">
        <v>2</v>
      </c>
      <c r="D107" t="n">
        <v>51</v>
      </c>
      <c r="E107" t="n">
        <v>12</v>
      </c>
      <c r="F107" t="n">
        <v>3</v>
      </c>
      <c r="G107" t="n">
        <v>0</v>
      </c>
      <c r="H107" t="n">
        <v>31254525</v>
      </c>
      <c r="I107" t="n">
        <v>10710</v>
      </c>
      <c r="J107" t="inlineStr">
        <is>
          <t>Industri Produk Bakeri</t>
        </is>
      </c>
      <c r="M107" t="inlineStr">
        <is>
          <t>HENY NURSIN</t>
        </is>
      </c>
      <c r="N107" t="inlineStr">
        <is>
          <t>INDANG SARI</t>
        </is>
      </c>
      <c r="Q107" t="inlineStr">
        <is>
          <t>0. Tidak Ditemukan</t>
        </is>
      </c>
      <c r="R107" t="n">
        <v>0</v>
      </c>
      <c r="V107" t="inlineStr">
        <is>
          <t>Pastikan sesuai kondisi lapangan</t>
        </is>
      </c>
      <c r="W107" t="n">
        <v>0</v>
      </c>
      <c r="AB107" t="inlineStr">
        <is>
          <t>7202051012000300</t>
        </is>
      </c>
      <c r="AC107" t="inlineStr">
        <is>
          <t>APPROVED BY Pengawas</t>
        </is>
      </c>
    </row>
    <row r="108">
      <c r="A108" t="inlineStr">
        <is>
          <t>73765c32-33b4-4b8c-8aa5-a1f300f8afcc</t>
        </is>
      </c>
      <c r="B108" t="n">
        <v>72</v>
      </c>
      <c r="C108" t="n">
        <v>2</v>
      </c>
      <c r="D108" t="n">
        <v>51</v>
      </c>
      <c r="E108" t="n">
        <v>13</v>
      </c>
      <c r="F108" t="n">
        <v>2</v>
      </c>
      <c r="G108" t="n">
        <v>0</v>
      </c>
      <c r="H108" t="n">
        <v>31210037</v>
      </c>
      <c r="I108" t="n">
        <v>10422</v>
      </c>
      <c r="J108" t="inlineStr">
        <is>
          <t>Industri Minyak Mentah Kelapa</t>
        </is>
      </c>
      <c r="M108" t="inlineStr">
        <is>
          <t xml:space="preserve">GAMIATI </t>
        </is>
      </c>
      <c r="N108" t="inlineStr">
        <is>
          <t xml:space="preserve">BUKIT MULYA </t>
        </is>
      </c>
      <c r="Q108" t="inlineStr">
        <is>
          <t>0. Tidak Ditemukan</t>
        </is>
      </c>
      <c r="R108" t="n">
        <v>0</v>
      </c>
      <c r="V108" t="inlineStr">
        <is>
          <t>Pastikan sesuai kondisi lapangan</t>
        </is>
      </c>
      <c r="W108" t="n">
        <v>0</v>
      </c>
      <c r="AB108" t="inlineStr">
        <is>
          <t>7202051013000200</t>
        </is>
      </c>
      <c r="AC108" t="inlineStr">
        <is>
          <t>APPROVED BY Pengawas</t>
        </is>
      </c>
    </row>
    <row r="109">
      <c r="A109" t="inlineStr">
        <is>
          <t>36a46255-4b2b-4752-ad22-eb2f21d28fac</t>
        </is>
      </c>
      <c r="B109" t="n">
        <v>72</v>
      </c>
      <c r="C109" t="n">
        <v>2</v>
      </c>
      <c r="D109" t="n">
        <v>52</v>
      </c>
      <c r="E109" t="n">
        <v>1</v>
      </c>
      <c r="F109" t="n">
        <v>5</v>
      </c>
      <c r="G109" t="n">
        <v>1</v>
      </c>
      <c r="H109" t="n">
        <v>29185171</v>
      </c>
      <c r="I109" t="n">
        <v>10779</v>
      </c>
      <c r="J109" t="inlineStr">
        <is>
          <t>Industri Bumbu Masakan Lainnya</t>
        </is>
      </c>
      <c r="M109" t="inlineStr">
        <is>
          <t>SUSI ARIANTI</t>
        </is>
      </c>
      <c r="N109" t="inlineStr">
        <is>
          <t>KOMPLEX BTN PEPABRI</t>
        </is>
      </c>
      <c r="Q109" t="inlineStr">
        <is>
          <t>0. Tidak Ditemukan</t>
        </is>
      </c>
      <c r="R109" t="n">
        <v>0</v>
      </c>
      <c r="V109" t="inlineStr">
        <is>
          <t>Pastikan sesuai kondisi lapangan</t>
        </is>
      </c>
      <c r="W109" t="n">
        <v>0</v>
      </c>
      <c r="AB109" t="inlineStr">
        <is>
          <t>7202052001000501</t>
        </is>
      </c>
      <c r="AC109" t="inlineStr">
        <is>
          <t>REVOKED BY Pengawas</t>
        </is>
      </c>
    </row>
    <row r="110">
      <c r="A110" t="inlineStr">
        <is>
          <t>eb7487b4-0b22-446e-9003-45c092bfadb2</t>
        </is>
      </c>
      <c r="B110" t="n">
        <v>72</v>
      </c>
      <c r="C110" t="n">
        <v>2</v>
      </c>
      <c r="D110" t="n">
        <v>52</v>
      </c>
      <c r="E110" t="n">
        <v>1</v>
      </c>
      <c r="F110" t="n">
        <v>7</v>
      </c>
      <c r="G110" t="n">
        <v>1</v>
      </c>
      <c r="H110" t="n">
        <v>30668446</v>
      </c>
      <c r="I110" t="n">
        <v>11059</v>
      </c>
      <c r="J110" t="inlineStr">
        <is>
          <t>Industri Minuman Lainnya</t>
        </is>
      </c>
      <c r="M110" t="inlineStr">
        <is>
          <t>Dina Nur Anggraini Tanjung</t>
        </is>
      </c>
      <c r="N110" t="inlineStr">
        <is>
          <t>Kilongan</t>
        </is>
      </c>
      <c r="Q110" t="inlineStr">
        <is>
          <t>0. Tidak Ditemukan</t>
        </is>
      </c>
      <c r="R110" t="n">
        <v>0</v>
      </c>
      <c r="V110" t="inlineStr">
        <is>
          <t>Pastikan sesuai kondisi lapangan</t>
        </is>
      </c>
      <c r="W110" t="n">
        <v>0</v>
      </c>
      <c r="AB110" t="inlineStr">
        <is>
          <t>7202052001000701</t>
        </is>
      </c>
      <c r="AC110" t="inlineStr">
        <is>
          <t>APPROVED BY Pengawas</t>
        </is>
      </c>
    </row>
    <row r="111">
      <c r="A111" t="inlineStr">
        <is>
          <t>187ae894-1022-4f8f-b01a-693a74fbbaf9</t>
        </is>
      </c>
      <c r="B111" t="n">
        <v>72</v>
      </c>
      <c r="C111" t="n">
        <v>2</v>
      </c>
      <c r="D111" t="n">
        <v>52</v>
      </c>
      <c r="E111" t="n">
        <v>1</v>
      </c>
      <c r="F111" t="n">
        <v>7</v>
      </c>
      <c r="G111" t="n">
        <v>2</v>
      </c>
      <c r="H111" t="n">
        <v>30048049</v>
      </c>
      <c r="M111" t="inlineStr">
        <is>
          <t>DWI FADILA DJENOD</t>
        </is>
      </c>
      <c r="N111" t="inlineStr">
        <is>
          <t>KILONGAN</t>
        </is>
      </c>
      <c r="Q111" t="inlineStr">
        <is>
          <t>0. Tidak Ditemukan</t>
        </is>
      </c>
      <c r="R111" t="n">
        <v>0</v>
      </c>
      <c r="V111" t="inlineStr">
        <is>
          <t>Pastikan sesuai kondisi lapangan</t>
        </is>
      </c>
      <c r="W111" t="n">
        <v>0</v>
      </c>
      <c r="AB111" t="inlineStr">
        <is>
          <t>7202052001000702</t>
        </is>
      </c>
      <c r="AC111" t="inlineStr">
        <is>
          <t>APPROVED BY Pengawas</t>
        </is>
      </c>
    </row>
    <row r="112">
      <c r="A112" t="inlineStr">
        <is>
          <t>9f260520-e3a3-43de-bd0b-32ffce475a6e</t>
        </is>
      </c>
      <c r="B112" t="n">
        <v>72</v>
      </c>
      <c r="C112" t="n">
        <v>2</v>
      </c>
      <c r="D112" t="n">
        <v>52</v>
      </c>
      <c r="E112" t="n">
        <v>3</v>
      </c>
      <c r="F112" t="n">
        <v>2</v>
      </c>
      <c r="G112" t="n">
        <v>0</v>
      </c>
      <c r="H112" t="n">
        <v>30463233</v>
      </c>
      <c r="I112" t="n">
        <v>10779</v>
      </c>
      <c r="J112" t="inlineStr">
        <is>
          <t>Industri Bumbu Masakan Lainnya</t>
        </is>
      </c>
      <c r="M112" t="inlineStr">
        <is>
          <t>MAYASARI PENANTA</t>
        </is>
      </c>
      <c r="N112" t="inlineStr">
        <is>
          <t>DESA BOYOU</t>
        </is>
      </c>
      <c r="Q112" t="inlineStr">
        <is>
          <t>0. Tidak Ditemukan</t>
        </is>
      </c>
      <c r="R112" t="n">
        <v>0</v>
      </c>
      <c r="V112" t="inlineStr">
        <is>
          <t>Pastikan sesuai kondisi lapangan</t>
        </is>
      </c>
      <c r="W112" t="n">
        <v>0</v>
      </c>
      <c r="AB112" t="inlineStr">
        <is>
          <t>7202052003000200</t>
        </is>
      </c>
      <c r="AC112" t="inlineStr">
        <is>
          <t>APPROVED BY Pengawas</t>
        </is>
      </c>
    </row>
    <row r="113">
      <c r="A113" t="inlineStr">
        <is>
          <t>bea54b5b-f2ca-4e4f-9234-235d0bbbf47e</t>
        </is>
      </c>
      <c r="B113" t="n">
        <v>72</v>
      </c>
      <c r="C113" t="n">
        <v>2</v>
      </c>
      <c r="D113" t="n">
        <v>52</v>
      </c>
      <c r="E113" t="n">
        <v>3</v>
      </c>
      <c r="F113" t="n">
        <v>2</v>
      </c>
      <c r="G113" t="n">
        <v>0</v>
      </c>
      <c r="H113" t="n">
        <v>27893354</v>
      </c>
      <c r="I113" t="n">
        <v>10303</v>
      </c>
      <c r="J113" t="inlineStr">
        <is>
          <t>Pengeringan Buah-buahan dan Sayuran</t>
        </is>
      </c>
      <c r="M113" t="inlineStr">
        <is>
          <t>ROSMAWATI SANGINTANG</t>
        </is>
      </c>
      <c r="N113" t="inlineStr">
        <is>
          <t xml:space="preserve"> BOYOU</t>
        </is>
      </c>
      <c r="Q113" t="inlineStr">
        <is>
          <t>0. Tidak Ditemukan</t>
        </is>
      </c>
      <c r="R113" t="n">
        <v>0</v>
      </c>
      <c r="V113" t="inlineStr">
        <is>
          <t>Pastikan sesuai kondisi lapangan</t>
        </is>
      </c>
      <c r="W113" t="n">
        <v>0</v>
      </c>
      <c r="AB113" t="inlineStr">
        <is>
          <t>7202052003000200</t>
        </is>
      </c>
      <c r="AC113" t="inlineStr">
        <is>
          <t>APPROVED BY Pengawas</t>
        </is>
      </c>
    </row>
    <row r="114">
      <c r="A114" t="inlineStr">
        <is>
          <t>3326d0a1-03c7-4245-a6dc-c31b9afc56b8</t>
        </is>
      </c>
      <c r="B114" t="n">
        <v>72</v>
      </c>
      <c r="C114" t="n">
        <v>2</v>
      </c>
      <c r="D114" t="n">
        <v>52</v>
      </c>
      <c r="E114" t="n">
        <v>3</v>
      </c>
      <c r="F114" t="n">
        <v>5</v>
      </c>
      <c r="G114" t="n">
        <v>0</v>
      </c>
      <c r="H114" t="n">
        <v>29216555</v>
      </c>
      <c r="I114" t="n">
        <v>10710</v>
      </c>
      <c r="J114" t="inlineStr">
        <is>
          <t>Industri Produk Bakeri</t>
        </is>
      </c>
      <c r="M114" t="inlineStr">
        <is>
          <t>FITRIANTI S BUSADA</t>
        </is>
      </c>
      <c r="N114" t="inlineStr">
        <is>
          <t>BOYOU</t>
        </is>
      </c>
      <c r="Q114" t="inlineStr">
        <is>
          <t>0. Tidak Ditemukan</t>
        </is>
      </c>
      <c r="R114" t="n">
        <v>0</v>
      </c>
      <c r="V114" t="inlineStr">
        <is>
          <t>Pastikan sesuai kondisi lapangan</t>
        </is>
      </c>
      <c r="W114" t="n">
        <v>0</v>
      </c>
      <c r="AB114" t="inlineStr">
        <is>
          <t>7202052003000500</t>
        </is>
      </c>
      <c r="AC114" t="inlineStr">
        <is>
          <t>APPROVED BY Pengawas</t>
        </is>
      </c>
    </row>
    <row r="115">
      <c r="A115" t="inlineStr">
        <is>
          <t>f4dd5ecd-09f9-4e48-96b0-2573669a7d34</t>
        </is>
      </c>
      <c r="B115" t="n">
        <v>72</v>
      </c>
      <c r="C115" t="n">
        <v>2</v>
      </c>
      <c r="D115" t="n">
        <v>52</v>
      </c>
      <c r="E115" t="n">
        <v>4</v>
      </c>
      <c r="F115" t="n">
        <v>4</v>
      </c>
      <c r="G115" t="n">
        <v>0</v>
      </c>
      <c r="H115" t="n">
        <v>26669822</v>
      </c>
      <c r="I115" t="n">
        <v>10794</v>
      </c>
      <c r="J115" t="inlineStr">
        <is>
          <t>Industri Kerupuk, Keripik, Peyek, dan Sejenisnya</t>
        </is>
      </c>
      <c r="M115" t="inlineStr">
        <is>
          <t>SOFYAN PUCE</t>
        </is>
      </c>
      <c r="N115" t="inlineStr">
        <is>
          <t>KOHOBOTIK</t>
        </is>
      </c>
      <c r="Q115" t="inlineStr">
        <is>
          <t>0. Tidak Ditemukan</t>
        </is>
      </c>
      <c r="R115" t="n">
        <v>0</v>
      </c>
      <c r="V115" t="inlineStr">
        <is>
          <t>Pastikan sesuai kondisi lapangan</t>
        </is>
      </c>
      <c r="W115" t="n">
        <v>0</v>
      </c>
      <c r="AB115" t="inlineStr">
        <is>
          <t>7202052004000400</t>
        </is>
      </c>
      <c r="AC115" t="inlineStr">
        <is>
          <t>APPROVED BY Pengawas</t>
        </is>
      </c>
    </row>
    <row r="116">
      <c r="A116" t="inlineStr">
        <is>
          <t>4dc2533b-9abb-419c-a62c-205666dd69c9</t>
        </is>
      </c>
      <c r="B116" t="n">
        <v>72</v>
      </c>
      <c r="C116" t="n">
        <v>2</v>
      </c>
      <c r="D116" t="n">
        <v>52</v>
      </c>
      <c r="E116" t="n">
        <v>8</v>
      </c>
      <c r="F116" t="n">
        <v>1</v>
      </c>
      <c r="G116" t="n">
        <v>0</v>
      </c>
      <c r="H116" t="n">
        <v>30345302</v>
      </c>
      <c r="I116" t="n">
        <v>10794</v>
      </c>
      <c r="J116" t="inlineStr">
        <is>
          <t>Industri Kerupuk, Keripik, Peyek, dan Sejenisnya</t>
        </is>
      </c>
      <c r="M116" t="inlineStr">
        <is>
          <t>RAMLAH TOSION</t>
        </is>
      </c>
      <c r="N116" t="inlineStr">
        <is>
          <t>DESA AWU</t>
        </is>
      </c>
      <c r="Q116" t="inlineStr">
        <is>
          <t>0. Tidak Ditemukan</t>
        </is>
      </c>
      <c r="R116" t="n">
        <v>0</v>
      </c>
      <c r="V116" t="inlineStr">
        <is>
          <t>Pastikan sesuai kondisi lapangan</t>
        </is>
      </c>
      <c r="W116" t="n">
        <v>0</v>
      </c>
      <c r="AB116" t="inlineStr">
        <is>
          <t>7202052008000100</t>
        </is>
      </c>
      <c r="AC116" t="inlineStr">
        <is>
          <t>APPROVED BY Pengawas</t>
        </is>
      </c>
    </row>
    <row r="117">
      <c r="A117" t="inlineStr">
        <is>
          <t>a55eb206-0e66-45d1-a011-7941a5680122</t>
        </is>
      </c>
      <c r="B117" t="n">
        <v>72</v>
      </c>
      <c r="C117" t="n">
        <v>2</v>
      </c>
      <c r="D117" t="n">
        <v>53</v>
      </c>
      <c r="E117" t="n">
        <v>2</v>
      </c>
      <c r="F117" t="n">
        <v>3</v>
      </c>
      <c r="G117" t="n">
        <v>0</v>
      </c>
      <c r="H117" t="n">
        <v>58218133</v>
      </c>
      <c r="M117" t="inlineStr">
        <is>
          <t>SILVIA LABUAN</t>
        </is>
      </c>
      <c r="N117" t="inlineStr">
        <is>
          <t>Luwuk Selatan</t>
        </is>
      </c>
      <c r="Q117" t="inlineStr">
        <is>
          <t>0. Tidak Ditemukan</t>
        </is>
      </c>
      <c r="R117" t="n">
        <v>0</v>
      </c>
      <c r="V117" t="inlineStr">
        <is>
          <t>Pastikan sesuai kondisi lapangan</t>
        </is>
      </c>
      <c r="W117" t="n">
        <v>0</v>
      </c>
      <c r="AB117" t="inlineStr">
        <is>
          <t>7202053002000300</t>
        </is>
      </c>
      <c r="AC117" t="inlineStr">
        <is>
          <t>SUBMITTED BY Pencacah</t>
        </is>
      </c>
    </row>
    <row r="118">
      <c r="A118" t="inlineStr">
        <is>
          <t>1d4592ef-b38d-4249-ad00-b5dfdb1c0296</t>
        </is>
      </c>
      <c r="B118" t="n">
        <v>72</v>
      </c>
      <c r="C118" t="n">
        <v>2</v>
      </c>
      <c r="D118" t="n">
        <v>53</v>
      </c>
      <c r="E118" t="n">
        <v>2</v>
      </c>
      <c r="F118" t="n">
        <v>4</v>
      </c>
      <c r="G118" t="n">
        <v>0</v>
      </c>
      <c r="H118" t="n">
        <v>30835495</v>
      </c>
      <c r="I118" t="n">
        <v>10710</v>
      </c>
      <c r="J118" t="inlineStr">
        <is>
          <t>Industri Produk Bakeri</t>
        </is>
      </c>
      <c r="M118" t="inlineStr">
        <is>
          <t>NUR AENI PATAEPE</t>
        </is>
      </c>
      <c r="N118" t="inlineStr">
        <is>
          <t>JL.DR.MOH.HATTA KM 05 NO.91</t>
        </is>
      </c>
      <c r="Q118" t="inlineStr">
        <is>
          <t>0. Tidak Ditemukan</t>
        </is>
      </c>
      <c r="R118" t="n">
        <v>0</v>
      </c>
      <c r="V118" t="inlineStr">
        <is>
          <t>Pastikan sesuai kondisi lapangan</t>
        </is>
      </c>
      <c r="W118" t="n">
        <v>0</v>
      </c>
      <c r="AB118" t="inlineStr">
        <is>
          <t>7202053002000400</t>
        </is>
      </c>
      <c r="AC118" t="inlineStr">
        <is>
          <t>APPROVED BY Pengawas</t>
        </is>
      </c>
    </row>
    <row r="119">
      <c r="A119" t="inlineStr">
        <is>
          <t>a7385358-6354-48b2-9fd1-c0e77469fcca</t>
        </is>
      </c>
      <c r="B119" t="n">
        <v>72</v>
      </c>
      <c r="C119" t="n">
        <v>2</v>
      </c>
      <c r="D119" t="n">
        <v>53</v>
      </c>
      <c r="E119" t="n">
        <v>3</v>
      </c>
      <c r="F119" t="n">
        <v>1</v>
      </c>
      <c r="G119" t="n">
        <v>0</v>
      </c>
      <c r="H119" t="n">
        <v>28701715</v>
      </c>
      <c r="I119" t="n">
        <v>10710</v>
      </c>
      <c r="J119" t="inlineStr">
        <is>
          <t>Industri Produk Bakeri</t>
        </is>
      </c>
      <c r="M119" t="inlineStr">
        <is>
          <t>DIENTJE PAPEA</t>
        </is>
      </c>
      <c r="N119" t="inlineStr">
        <is>
          <t>JL. P. LEMBE NO.22</t>
        </is>
      </c>
      <c r="Q119" t="inlineStr">
        <is>
          <t>0. Tidak Ditemukan</t>
        </is>
      </c>
      <c r="R119" t="n">
        <v>0</v>
      </c>
      <c r="V119" t="inlineStr">
        <is>
          <t>Pastikan sesuai kondisi lapangan</t>
        </is>
      </c>
      <c r="W119" t="n">
        <v>0</v>
      </c>
      <c r="AB119" t="inlineStr">
        <is>
          <t>7202053003000100</t>
        </is>
      </c>
      <c r="AC119" t="inlineStr">
        <is>
          <t>APPROVED BY Pengawas</t>
        </is>
      </c>
    </row>
    <row r="120">
      <c r="A120" t="inlineStr">
        <is>
          <t>df38a788-8ef3-439b-990a-33a471b423f7</t>
        </is>
      </c>
      <c r="B120" t="n">
        <v>72</v>
      </c>
      <c r="C120" t="n">
        <v>2</v>
      </c>
      <c r="D120" t="n">
        <v>53</v>
      </c>
      <c r="E120" t="n">
        <v>3</v>
      </c>
      <c r="F120" t="n">
        <v>11</v>
      </c>
      <c r="G120" t="n">
        <v>0</v>
      </c>
      <c r="H120" t="n">
        <v>26482292</v>
      </c>
      <c r="I120" t="n">
        <v>10710</v>
      </c>
      <c r="J120" t="inlineStr">
        <is>
          <t>Industri Produk Bakeri</t>
        </is>
      </c>
      <c r="M120" t="inlineStr">
        <is>
          <t>RISKA THEDY</t>
        </is>
      </c>
      <c r="N120" t="inlineStr">
        <is>
          <t>Jl. P Halmahera</t>
        </is>
      </c>
      <c r="Q120" t="inlineStr">
        <is>
          <t>0. Tidak Ditemukan</t>
        </is>
      </c>
      <c r="R120" t="n">
        <v>0</v>
      </c>
      <c r="V120" t="inlineStr">
        <is>
          <t>Pastikan sesuai kondisi lapangan</t>
        </is>
      </c>
      <c r="W120" t="n">
        <v>0</v>
      </c>
      <c r="AB120" t="inlineStr">
        <is>
          <t>7202053003001100</t>
        </is>
      </c>
      <c r="AC120" t="inlineStr">
        <is>
          <t>APPROVED BY Pengawas</t>
        </is>
      </c>
    </row>
    <row r="121">
      <c r="A121" t="inlineStr">
        <is>
          <t>28d1fe34-b2c9-4b22-9295-801deb415cca</t>
        </is>
      </c>
      <c r="B121" t="n">
        <v>72</v>
      </c>
      <c r="C121" t="n">
        <v>2</v>
      </c>
      <c r="D121" t="n">
        <v>53</v>
      </c>
      <c r="E121" t="n">
        <v>3</v>
      </c>
      <c r="F121" t="n">
        <v>14</v>
      </c>
      <c r="G121" t="n">
        <v>0</v>
      </c>
      <c r="H121" t="n">
        <v>27573235</v>
      </c>
      <c r="I121" t="n">
        <v>10799</v>
      </c>
      <c r="J121" t="inlineStr">
        <is>
          <t>Industri Produk Makanan Lainnya YTDL</t>
        </is>
      </c>
      <c r="M121" t="inlineStr">
        <is>
          <t>SUCIATIK</t>
        </is>
      </c>
      <c r="N121" t="inlineStr">
        <is>
          <t>JL PULAU BANGGAI</t>
        </is>
      </c>
      <c r="Q121" t="inlineStr">
        <is>
          <t>0. Tidak Ditemukan</t>
        </is>
      </c>
      <c r="R121" t="n">
        <v>0</v>
      </c>
      <c r="V121" t="inlineStr">
        <is>
          <t>Pastikan sesuai kondisi lapangan</t>
        </is>
      </c>
      <c r="W121" t="n">
        <v>0</v>
      </c>
      <c r="AB121" t="inlineStr">
        <is>
          <t>7202053003001400</t>
        </is>
      </c>
      <c r="AC121" t="inlineStr">
        <is>
          <t>SUBMITTED BY Pencacah</t>
        </is>
      </c>
    </row>
    <row r="122">
      <c r="A122" t="inlineStr">
        <is>
          <t>709bf365-d637-4e87-8462-3adf2481be53</t>
        </is>
      </c>
      <c r="B122" t="n">
        <v>72</v>
      </c>
      <c r="C122" t="n">
        <v>2</v>
      </c>
      <c r="D122" t="n">
        <v>53</v>
      </c>
      <c r="E122" t="n">
        <v>4</v>
      </c>
      <c r="F122" t="n">
        <v>6</v>
      </c>
      <c r="G122" t="n">
        <v>2</v>
      </c>
      <c r="H122" t="n">
        <v>30811699</v>
      </c>
      <c r="I122" t="n">
        <v>10211</v>
      </c>
      <c r="J122" t="inlineStr">
        <is>
          <t>Pengolahan dan Pengawetan Ikan dengan Penggaraman atau Pengeringan</t>
        </is>
      </c>
      <c r="M122" t="inlineStr">
        <is>
          <t>LISNAWATI DAUD</t>
        </is>
      </c>
      <c r="N122" t="inlineStr">
        <is>
          <t>JL MELATI</t>
        </is>
      </c>
      <c r="Q122" t="inlineStr">
        <is>
          <t>0. Tidak Ditemukan</t>
        </is>
      </c>
      <c r="R122" t="n">
        <v>0</v>
      </c>
      <c r="V122" t="inlineStr">
        <is>
          <t>Pastikan sesuai kondisi lapangan</t>
        </is>
      </c>
      <c r="W122" t="n">
        <v>0</v>
      </c>
      <c r="AB122" t="inlineStr">
        <is>
          <t>7202053004000602</t>
        </is>
      </c>
      <c r="AC122" t="inlineStr">
        <is>
          <t>APPROVED BY Pengawas</t>
        </is>
      </c>
    </row>
    <row r="123">
      <c r="A123" t="inlineStr">
        <is>
          <t>bf33d063-b5e6-42af-973e-b29b863883a5</t>
        </is>
      </c>
      <c r="B123" t="n">
        <v>72</v>
      </c>
      <c r="C123" t="n">
        <v>2</v>
      </c>
      <c r="D123" t="n">
        <v>53</v>
      </c>
      <c r="E123" t="n">
        <v>4</v>
      </c>
      <c r="F123" t="n">
        <v>6</v>
      </c>
      <c r="G123" t="n">
        <v>3</v>
      </c>
      <c r="H123" t="n">
        <v>29226097</v>
      </c>
      <c r="I123" t="n">
        <v>10710</v>
      </c>
      <c r="J123" t="inlineStr">
        <is>
          <t>Industri Produk Bakeri</t>
        </is>
      </c>
      <c r="M123" t="inlineStr">
        <is>
          <t>Muchriyati Ngalang</t>
        </is>
      </c>
      <c r="N123" t="inlineStr">
        <is>
          <t>Jln Cempaka</t>
        </is>
      </c>
      <c r="Q123" t="inlineStr">
        <is>
          <t>0. Tidak Ditemukan</t>
        </is>
      </c>
      <c r="R123" t="n">
        <v>0</v>
      </c>
      <c r="V123" t="inlineStr">
        <is>
          <t>Pastikan sesuai kondisi lapangan</t>
        </is>
      </c>
      <c r="W123" t="n">
        <v>0</v>
      </c>
      <c r="AB123" t="inlineStr">
        <is>
          <t>7202053004000603</t>
        </is>
      </c>
      <c r="AC123" t="inlineStr">
        <is>
          <t>SUBMITTED BY Pencacah</t>
        </is>
      </c>
    </row>
    <row r="124">
      <c r="A124" t="inlineStr">
        <is>
          <t>ad79bc6d-2385-45bb-a4f7-454ce1c5ce02</t>
        </is>
      </c>
      <c r="B124" t="n">
        <v>72</v>
      </c>
      <c r="C124" t="n">
        <v>2</v>
      </c>
      <c r="D124" t="n">
        <v>53</v>
      </c>
      <c r="E124" t="n">
        <v>4</v>
      </c>
      <c r="F124" t="n">
        <v>6</v>
      </c>
      <c r="G124" t="n">
        <v>3</v>
      </c>
      <c r="H124" t="n">
        <v>17423703</v>
      </c>
      <c r="M124" t="inlineStr">
        <is>
          <t>Pia Lilly</t>
        </is>
      </c>
      <c r="N124" t="inlineStr">
        <is>
          <t>Jl. Bunga Kenanga Kampung 9 1, Hanga-Hanga, Kec. Luwuk Selatan, Kabupaten Banggai, Sulawesi Tengah 94711</t>
        </is>
      </c>
      <c r="Q124" t="inlineStr">
        <is>
          <t>0. Tidak Ditemukan</t>
        </is>
      </c>
      <c r="R124" t="n">
        <v>0</v>
      </c>
      <c r="V124" t="inlineStr">
        <is>
          <t>Pastikan sesuai kondisi lapangan</t>
        </is>
      </c>
      <c r="W124" t="n">
        <v>0</v>
      </c>
      <c r="AB124" t="inlineStr">
        <is>
          <t>7202053004000603</t>
        </is>
      </c>
      <c r="AC124" t="inlineStr">
        <is>
          <t>REJECTED BY Pengawas</t>
        </is>
      </c>
    </row>
    <row r="125">
      <c r="A125" t="inlineStr">
        <is>
          <t>5c1114db-4cf5-4d2f-9567-f257c9ac6328</t>
        </is>
      </c>
      <c r="B125" t="n">
        <v>72</v>
      </c>
      <c r="C125" t="n">
        <v>2</v>
      </c>
      <c r="D125" t="n">
        <v>53</v>
      </c>
      <c r="E125" t="n">
        <v>5</v>
      </c>
      <c r="F125" t="n">
        <v>1</v>
      </c>
      <c r="G125" t="n">
        <v>0</v>
      </c>
      <c r="H125" t="n">
        <v>31121259</v>
      </c>
      <c r="I125" t="n">
        <v>10710</v>
      </c>
      <c r="J125" t="inlineStr">
        <is>
          <t>Industri Produk Bakeri</t>
        </is>
      </c>
      <c r="M125" t="inlineStr">
        <is>
          <t>MOHAMMAD ILHAM RYANDIO</t>
        </is>
      </c>
      <c r="N125" t="inlineStr">
        <is>
          <t>JL. MANDAPAR</t>
        </is>
      </c>
      <c r="Q125" t="inlineStr">
        <is>
          <t>0. Tidak Ditemukan</t>
        </is>
      </c>
      <c r="R125" t="n">
        <v>0</v>
      </c>
      <c r="V125" t="inlineStr">
        <is>
          <t>Pastikan sesuai kondisi lapangan</t>
        </is>
      </c>
      <c r="W125" t="n">
        <v>0</v>
      </c>
      <c r="AB125" t="inlineStr">
        <is>
          <t>7202053005000100</t>
        </is>
      </c>
      <c r="AC125" t="inlineStr">
        <is>
          <t>APPROVED BY Pengawas</t>
        </is>
      </c>
    </row>
    <row r="126">
      <c r="A126" t="inlineStr">
        <is>
          <t>2b4c3346-749a-4a10-bb14-b914a2fbc9a9</t>
        </is>
      </c>
      <c r="B126" t="n">
        <v>72</v>
      </c>
      <c r="C126" t="n">
        <v>2</v>
      </c>
      <c r="D126" t="n">
        <v>53</v>
      </c>
      <c r="E126" t="n">
        <v>8</v>
      </c>
      <c r="F126" t="n">
        <v>5</v>
      </c>
      <c r="G126" t="n">
        <v>0</v>
      </c>
      <c r="H126" t="n">
        <v>28740050</v>
      </c>
      <c r="I126" t="n">
        <v>10710</v>
      </c>
      <c r="J126" t="inlineStr">
        <is>
          <t>Industri Produk Bakeri</t>
        </is>
      </c>
      <c r="M126" t="inlineStr">
        <is>
          <t>DWI HANINGGAR RESKY</t>
        </is>
      </c>
      <c r="N126" t="inlineStr">
        <is>
          <t>JL. PULAU MASALEMBO</t>
        </is>
      </c>
      <c r="Q126" t="inlineStr">
        <is>
          <t>0. Tidak Ditemukan</t>
        </is>
      </c>
      <c r="R126" t="n">
        <v>0</v>
      </c>
      <c r="V126" t="inlineStr">
        <is>
          <t>Pastikan sesuai kondisi lapangan</t>
        </is>
      </c>
      <c r="W126" t="n">
        <v>0</v>
      </c>
      <c r="AB126" t="inlineStr">
        <is>
          <t>7202053008000500</t>
        </is>
      </c>
      <c r="AC126" t="inlineStr">
        <is>
          <t>APPROVED BY Pengawas</t>
        </is>
      </c>
    </row>
    <row r="127">
      <c r="A127" t="inlineStr">
        <is>
          <t>4c73f89d-4346-4fc3-9e2a-ef1e73b430f7</t>
        </is>
      </c>
      <c r="B127" t="n">
        <v>72</v>
      </c>
      <c r="C127" t="n">
        <v>2</v>
      </c>
      <c r="D127" t="n">
        <v>54</v>
      </c>
      <c r="E127" t="n">
        <v>1</v>
      </c>
      <c r="F127" t="n">
        <v>3</v>
      </c>
      <c r="G127" t="n">
        <v>0</v>
      </c>
      <c r="H127" t="n">
        <v>43476621</v>
      </c>
      <c r="I127" t="n">
        <v>10710</v>
      </c>
      <c r="J127" t="inlineStr">
        <is>
          <t>Industri Produk Bakeri</t>
        </is>
      </c>
      <c r="M127" t="inlineStr">
        <is>
          <t>INDOTAMA BERKAH SENTOSA</t>
        </is>
      </c>
      <c r="N127" t="inlineStr">
        <is>
          <t>Nambo Padang</t>
        </is>
      </c>
      <c r="Q127" t="inlineStr">
        <is>
          <t>0. Tidak Ditemukan</t>
        </is>
      </c>
      <c r="R127" t="n">
        <v>0</v>
      </c>
      <c r="V127" t="inlineStr">
        <is>
          <t>Pastikan sesuai kondisi lapangan</t>
        </is>
      </c>
      <c r="W127" t="n">
        <v>0</v>
      </c>
      <c r="AB127" t="inlineStr">
        <is>
          <t>7202054001000300</t>
        </is>
      </c>
      <c r="AC127" t="inlineStr">
        <is>
          <t>APPROVED BY Pengawas</t>
        </is>
      </c>
    </row>
    <row r="128">
      <c r="A128" t="inlineStr">
        <is>
          <t>e87d4064-d534-4b79-b170-b9df5eefee65</t>
        </is>
      </c>
      <c r="B128" t="n">
        <v>72</v>
      </c>
      <c r="C128" t="n">
        <v>2</v>
      </c>
      <c r="D128" t="n">
        <v>54</v>
      </c>
      <c r="E128" t="n">
        <v>3</v>
      </c>
      <c r="F128" t="n">
        <v>2</v>
      </c>
      <c r="G128" t="n">
        <v>0</v>
      </c>
      <c r="H128" t="n">
        <v>27376991</v>
      </c>
      <c r="I128" t="n">
        <v>10710</v>
      </c>
      <c r="J128" t="inlineStr">
        <is>
          <t>Industri Produk Bakeri</t>
        </is>
      </c>
      <c r="M128" t="inlineStr">
        <is>
          <t>MUSRINA M LAMUSU</t>
        </is>
      </c>
      <c r="N128" t="inlineStr">
        <is>
          <t>KOYOAN</t>
        </is>
      </c>
      <c r="Q128" t="inlineStr">
        <is>
          <t>0. Tidak Ditemukan</t>
        </is>
      </c>
      <c r="R128" t="n">
        <v>0</v>
      </c>
      <c r="V128" t="inlineStr">
        <is>
          <t>Pastikan sesuai kondisi lapangan</t>
        </is>
      </c>
      <c r="W128" t="n">
        <v>0</v>
      </c>
      <c r="AB128" t="inlineStr">
        <is>
          <t>7202054003000200</t>
        </is>
      </c>
      <c r="AC128" t="inlineStr">
        <is>
          <t>APPROVED BY Pengawas</t>
        </is>
      </c>
    </row>
    <row r="129">
      <c r="A129" t="inlineStr">
        <is>
          <t>7c255d58-d1cd-4838-a996-d2b3ecd0b7c3</t>
        </is>
      </c>
      <c r="B129" t="n">
        <v>72</v>
      </c>
      <c r="C129" t="n">
        <v>2</v>
      </c>
      <c r="D129" t="n">
        <v>54</v>
      </c>
      <c r="E129" t="n">
        <v>3</v>
      </c>
      <c r="F129" t="n">
        <v>6</v>
      </c>
      <c r="G129" t="n">
        <v>0</v>
      </c>
      <c r="H129" t="n">
        <v>30548747</v>
      </c>
      <c r="I129" t="n">
        <v>10422</v>
      </c>
      <c r="J129" t="inlineStr">
        <is>
          <t>Industri Minyak Mentah Kelapa</t>
        </is>
      </c>
      <c r="M129" t="inlineStr">
        <is>
          <t>ROSNI MASAUDA</t>
        </is>
      </c>
      <c r="N129" t="inlineStr">
        <is>
          <t>DESA. KOYOAN</t>
        </is>
      </c>
      <c r="Q129" t="inlineStr">
        <is>
          <t>0. Tidak Ditemukan</t>
        </is>
      </c>
      <c r="R129" t="n">
        <v>0</v>
      </c>
      <c r="V129" t="inlineStr">
        <is>
          <t>Pastikan sesuai kondisi lapangan</t>
        </is>
      </c>
      <c r="W129" t="n">
        <v>0</v>
      </c>
      <c r="AB129" t="inlineStr">
        <is>
          <t>7202054003000600</t>
        </is>
      </c>
      <c r="AC129" t="inlineStr">
        <is>
          <t>SUBMITTED BY Pencacah</t>
        </is>
      </c>
    </row>
    <row r="130">
      <c r="A130" t="inlineStr">
        <is>
          <t>02b74277-9a46-44ae-9f01-7cdeb4a2f201</t>
        </is>
      </c>
      <c r="B130" t="n">
        <v>72</v>
      </c>
      <c r="C130" t="n">
        <v>2</v>
      </c>
      <c r="D130" t="n">
        <v>54</v>
      </c>
      <c r="E130" t="n">
        <v>4</v>
      </c>
      <c r="F130" t="n">
        <v>1</v>
      </c>
      <c r="G130" t="n">
        <v>0</v>
      </c>
      <c r="H130" t="n">
        <v>27935222</v>
      </c>
      <c r="I130" t="n">
        <v>10710</v>
      </c>
      <c r="J130" t="inlineStr">
        <is>
          <t>Industri Produk Bakeri</t>
        </is>
      </c>
      <c r="M130" t="inlineStr">
        <is>
          <t>NOLDY NOVIANCE ROMPAS</t>
        </is>
      </c>
      <c r="N130" t="inlineStr">
        <is>
          <t>NAMBO</t>
        </is>
      </c>
      <c r="Q130" t="inlineStr">
        <is>
          <t>0. Tidak Ditemukan</t>
        </is>
      </c>
      <c r="R130" t="n">
        <v>0</v>
      </c>
      <c r="V130" t="inlineStr">
        <is>
          <t>Pastikan sesuai kondisi lapangan</t>
        </is>
      </c>
      <c r="W130" t="n">
        <v>0</v>
      </c>
      <c r="AB130" t="inlineStr">
        <is>
          <t>7202054004000100</t>
        </is>
      </c>
      <c r="AC130" t="inlineStr">
        <is>
          <t>APPROVED BY Pengawas</t>
        </is>
      </c>
    </row>
    <row r="131">
      <c r="A131" t="inlineStr">
        <is>
          <t>c3235bb7-87b1-4d1d-b015-c8c676f7e0bc</t>
        </is>
      </c>
      <c r="B131" t="n">
        <v>72</v>
      </c>
      <c r="C131" t="n">
        <v>2</v>
      </c>
      <c r="D131" t="n">
        <v>54</v>
      </c>
      <c r="E131" t="n">
        <v>4</v>
      </c>
      <c r="F131" t="n">
        <v>3</v>
      </c>
      <c r="G131" t="n">
        <v>0</v>
      </c>
      <c r="H131" t="n">
        <v>30132977</v>
      </c>
      <c r="I131" t="n">
        <v>10710</v>
      </c>
      <c r="J131" t="inlineStr">
        <is>
          <t>Industri Produk Bakeri</t>
        </is>
      </c>
      <c r="M131" t="inlineStr">
        <is>
          <t>DEAVY R ROMPAS</t>
        </is>
      </c>
      <c r="N131" t="inlineStr">
        <is>
          <t>NAMBO BOSAA</t>
        </is>
      </c>
      <c r="Q131" t="inlineStr">
        <is>
          <t>0. Tidak Ditemukan</t>
        </is>
      </c>
      <c r="R131" t="n">
        <v>0</v>
      </c>
      <c r="V131" t="inlineStr">
        <is>
          <t>Pastikan sesuai kondisi lapangan</t>
        </is>
      </c>
      <c r="W131" t="n">
        <v>0</v>
      </c>
      <c r="AB131" t="inlineStr">
        <is>
          <t>7202054004000300</t>
        </is>
      </c>
      <c r="AC131" t="inlineStr">
        <is>
          <t>SUBMITTED BY Pencacah</t>
        </is>
      </c>
    </row>
    <row r="132">
      <c r="A132" t="inlineStr">
        <is>
          <t>85df4a2f-ec07-449b-aa51-5461524b3eff</t>
        </is>
      </c>
      <c r="B132" t="n">
        <v>72</v>
      </c>
      <c r="C132" t="n">
        <v>2</v>
      </c>
      <c r="D132" t="n">
        <v>54</v>
      </c>
      <c r="E132" t="n">
        <v>4</v>
      </c>
      <c r="F132" t="n">
        <v>4</v>
      </c>
      <c r="G132" t="n">
        <v>0</v>
      </c>
      <c r="H132" t="n">
        <v>32464103</v>
      </c>
      <c r="I132" t="n">
        <v>10710</v>
      </c>
      <c r="J132" t="inlineStr">
        <is>
          <t>Industri Produk Bakeri</t>
        </is>
      </c>
      <c r="M132" t="inlineStr">
        <is>
          <t>RATNA AMILU</t>
        </is>
      </c>
      <c r="N132" t="inlineStr">
        <is>
          <t>NAMBO BOSAA</t>
        </is>
      </c>
      <c r="Q132" t="inlineStr">
        <is>
          <t>0. Tidak Ditemukan</t>
        </is>
      </c>
      <c r="R132" t="n">
        <v>0</v>
      </c>
      <c r="V132" t="inlineStr">
        <is>
          <t>Pastikan sesuai kondisi lapangan</t>
        </is>
      </c>
      <c r="W132" t="n">
        <v>0</v>
      </c>
      <c r="AB132" t="inlineStr">
        <is>
          <t>7202054004000400</t>
        </is>
      </c>
      <c r="AC132" t="inlineStr">
        <is>
          <t>APPROVED BY Pengawas</t>
        </is>
      </c>
    </row>
    <row r="133">
      <c r="A133" t="inlineStr">
        <is>
          <t>76567a94-a11d-4af7-adc9-844ef9b0c3b3</t>
        </is>
      </c>
      <c r="B133" t="n">
        <v>72</v>
      </c>
      <c r="C133" t="n">
        <v>2</v>
      </c>
      <c r="D133" t="n">
        <v>54</v>
      </c>
      <c r="E133" t="n">
        <v>6</v>
      </c>
      <c r="F133" t="n">
        <v>3</v>
      </c>
      <c r="G133" t="n">
        <v>0</v>
      </c>
      <c r="H133" t="n">
        <v>30050578</v>
      </c>
      <c r="I133" t="n">
        <v>10710</v>
      </c>
      <c r="J133" t="inlineStr">
        <is>
          <t>Industri Produk Bakeri</t>
        </is>
      </c>
      <c r="M133" t="inlineStr">
        <is>
          <t>NURDIA</t>
        </is>
      </c>
      <c r="N133" t="inlineStr">
        <is>
          <t>KOYOAN PERMAI</t>
        </is>
      </c>
      <c r="Q133" t="inlineStr">
        <is>
          <t>0. Tidak Ditemukan</t>
        </is>
      </c>
      <c r="R133" t="n">
        <v>0</v>
      </c>
      <c r="V133" t="inlineStr">
        <is>
          <t>Pastikan sesuai kondisi lapangan</t>
        </is>
      </c>
      <c r="W133" t="n">
        <v>0</v>
      </c>
      <c r="AB133" t="inlineStr">
        <is>
          <t>7202054006000300</t>
        </is>
      </c>
      <c r="AC133" t="inlineStr">
        <is>
          <t>SUBMITTED BY Pencacah</t>
        </is>
      </c>
    </row>
    <row r="134">
      <c r="A134" t="inlineStr">
        <is>
          <t>62de3b4c-6513-4c99-8375-63d9afb2a96b</t>
        </is>
      </c>
      <c r="B134" t="n">
        <v>72</v>
      </c>
      <c r="C134" t="n">
        <v>2</v>
      </c>
      <c r="D134" t="n">
        <v>54</v>
      </c>
      <c r="E134" t="n">
        <v>6</v>
      </c>
      <c r="F134" t="n">
        <v>4</v>
      </c>
      <c r="G134" t="n">
        <v>0</v>
      </c>
      <c r="H134" t="n">
        <v>27057671</v>
      </c>
      <c r="I134" t="n">
        <v>10710</v>
      </c>
      <c r="J134" t="inlineStr">
        <is>
          <t>Industri Produk Bakeri</t>
        </is>
      </c>
      <c r="M134" t="inlineStr">
        <is>
          <t>ARNI ARIFAT</t>
        </is>
      </c>
      <c r="N134" t="inlineStr">
        <is>
          <t>KOYOAN PERMAI</t>
        </is>
      </c>
      <c r="Q134" t="inlineStr">
        <is>
          <t>0. Tidak Ditemukan</t>
        </is>
      </c>
      <c r="R134" t="n">
        <v>0</v>
      </c>
      <c r="V134" t="inlineStr">
        <is>
          <t>Pastikan sesuai kondisi lapangan</t>
        </is>
      </c>
      <c r="W134" t="n">
        <v>0</v>
      </c>
      <c r="AB134" t="inlineStr">
        <is>
          <t>7202054006000400</t>
        </is>
      </c>
      <c r="AC134" t="inlineStr">
        <is>
          <t>SUBMITTED BY Pencacah</t>
        </is>
      </c>
    </row>
    <row r="135">
      <c r="A135" t="inlineStr">
        <is>
          <t>b981df2b-cb8d-45ae-9feb-3c8442315e3c</t>
        </is>
      </c>
      <c r="B135" t="n">
        <v>72</v>
      </c>
      <c r="C135" t="n">
        <v>2</v>
      </c>
      <c r="D135" t="n">
        <v>61</v>
      </c>
      <c r="E135" t="n">
        <v>6</v>
      </c>
      <c r="F135" t="n">
        <v>2</v>
      </c>
      <c r="G135" t="n">
        <v>0</v>
      </c>
      <c r="H135" t="n">
        <v>30001193</v>
      </c>
      <c r="I135" t="n">
        <v>10794</v>
      </c>
      <c r="J135" t="inlineStr">
        <is>
          <t>Industri Kerupuk, Keripik, Peyek, dan Sejenisnya</t>
        </is>
      </c>
      <c r="M135" t="inlineStr">
        <is>
          <t>SITIARA SUKUR</t>
        </is>
      </c>
      <c r="N135" t="inlineStr">
        <is>
          <t>Lembah Tompotika</t>
        </is>
      </c>
      <c r="Q135" t="inlineStr">
        <is>
          <t>0. Tidak Ditemukan</t>
        </is>
      </c>
      <c r="R135" t="n">
        <v>0</v>
      </c>
      <c r="V135" t="inlineStr">
        <is>
          <t>Pastikan sesuai kondisi lapangan</t>
        </is>
      </c>
      <c r="W135" t="n">
        <v>0</v>
      </c>
      <c r="AB135" t="inlineStr">
        <is>
          <t>7202061006000200</t>
        </is>
      </c>
      <c r="AC135" t="inlineStr">
        <is>
          <t>APPROVED BY Pengawas</t>
        </is>
      </c>
    </row>
    <row r="136">
      <c r="A136" t="inlineStr">
        <is>
          <t>42e73d69-66ea-41ad-8843-17303e0f232f</t>
        </is>
      </c>
      <c r="B136" t="n">
        <v>72</v>
      </c>
      <c r="C136" t="n">
        <v>2</v>
      </c>
      <c r="D136" t="n">
        <v>62</v>
      </c>
      <c r="E136" t="n">
        <v>5</v>
      </c>
      <c r="F136" t="n">
        <v>1</v>
      </c>
      <c r="G136" t="n">
        <v>0</v>
      </c>
      <c r="H136" t="n">
        <v>28637200</v>
      </c>
      <c r="I136" t="n">
        <v>10710</v>
      </c>
      <c r="J136" t="inlineStr">
        <is>
          <t>Industri Produk Bakeri</t>
        </is>
      </c>
      <c r="M136" t="inlineStr">
        <is>
          <t>SRIYANTI INENG</t>
        </is>
      </c>
      <c r="N136" t="inlineStr">
        <is>
          <t>NIUBULAN</t>
        </is>
      </c>
      <c r="Q136" t="inlineStr">
        <is>
          <t>0. Tidak Ditemukan</t>
        </is>
      </c>
      <c r="R136" t="n">
        <v>0</v>
      </c>
      <c r="V136" t="inlineStr">
        <is>
          <t>Pastikan sesuai kondisi lapangan</t>
        </is>
      </c>
      <c r="W136" t="n">
        <v>0</v>
      </c>
      <c r="AB136" t="inlineStr">
        <is>
          <t>7202062005000100</t>
        </is>
      </c>
      <c r="AC136" t="inlineStr">
        <is>
          <t>REJECTED BY Pengawas</t>
        </is>
      </c>
    </row>
    <row r="137">
      <c r="A137" t="inlineStr">
        <is>
          <t>a160675f-37cb-4e56-8765-cac33cc66017</t>
        </is>
      </c>
      <c r="B137" t="n">
        <v>72</v>
      </c>
      <c r="C137" t="n">
        <v>2</v>
      </c>
      <c r="D137" t="n">
        <v>71</v>
      </c>
      <c r="E137" t="n">
        <v>1</v>
      </c>
      <c r="F137" t="n">
        <v>4</v>
      </c>
      <c r="G137" t="n">
        <v>0</v>
      </c>
      <c r="H137" t="n">
        <v>28734657</v>
      </c>
      <c r="I137" t="n">
        <v>47111</v>
      </c>
      <c r="J137" t="inlineStr">
        <is>
          <t>Perdagangan Eceran Berbagai Macam Barang yang Utamanya Makanan, Minuman, atau Tembakau dengan Sistem Swalayan</t>
        </is>
      </c>
      <c r="M137" t="inlineStr">
        <is>
          <t>FRILLY KARTINI SINTIA KUNDJAE</t>
        </is>
      </c>
      <c r="N137" t="inlineStr">
        <is>
          <t>TANGEBAN</t>
        </is>
      </c>
      <c r="Q137" t="inlineStr">
        <is>
          <t>0. Tidak Ditemukan</t>
        </is>
      </c>
      <c r="R137" t="n">
        <v>0</v>
      </c>
      <c r="V137" t="inlineStr">
        <is>
          <t>Pastikan sesuai kondisi lapangan</t>
        </is>
      </c>
      <c r="W137" t="n">
        <v>0</v>
      </c>
      <c r="AB137" t="inlineStr">
        <is>
          <t>7202071001000400</t>
        </is>
      </c>
      <c r="AC137" t="inlineStr">
        <is>
          <t>APPROVED BY Pengawas</t>
        </is>
      </c>
    </row>
    <row r="138">
      <c r="A138" t="inlineStr">
        <is>
          <t>2d8beb1c-198f-4684-9971-80d66c218d95</t>
        </is>
      </c>
      <c r="B138" t="n">
        <v>72</v>
      </c>
      <c r="C138" t="n">
        <v>3</v>
      </c>
      <c r="D138" t="n">
        <v>21</v>
      </c>
      <c r="E138" t="n">
        <v>6</v>
      </c>
      <c r="F138" t="n">
        <v>15</v>
      </c>
      <c r="G138" t="n">
        <v>2</v>
      </c>
      <c r="H138" t="n">
        <v>25968692</v>
      </c>
      <c r="I138" t="n">
        <v>10710</v>
      </c>
      <c r="J138" t="inlineStr">
        <is>
          <t>Industri Produk Bakeri</t>
        </is>
      </c>
      <c r="M138" t="inlineStr">
        <is>
          <t>MARWANA</t>
        </is>
      </c>
      <c r="N138" t="inlineStr">
        <is>
          <t>KEUREA</t>
        </is>
      </c>
      <c r="Q138" t="inlineStr">
        <is>
          <t>0. Tidak Ditemukan</t>
        </is>
      </c>
      <c r="R138" t="n">
        <v>0</v>
      </c>
      <c r="V138" t="inlineStr">
        <is>
          <t>Pastikan sesuai kondisi lapangan</t>
        </is>
      </c>
      <c r="W138" t="n">
        <v>0</v>
      </c>
      <c r="AB138" t="inlineStr">
        <is>
          <t>7203021006001502</t>
        </is>
      </c>
      <c r="AC138" t="inlineStr">
        <is>
          <t>APPROVED BY Pengawas</t>
        </is>
      </c>
    </row>
    <row r="139">
      <c r="A139" t="inlineStr">
        <is>
          <t>8b858c27-b05d-4c99-bdad-157f8cea2840</t>
        </is>
      </c>
      <c r="B139" t="n">
        <v>72</v>
      </c>
      <c r="C139" t="n">
        <v>3</v>
      </c>
      <c r="D139" t="n">
        <v>30</v>
      </c>
      <c r="E139" t="n">
        <v>11</v>
      </c>
      <c r="F139" t="n">
        <v>7</v>
      </c>
      <c r="G139" t="n">
        <v>0</v>
      </c>
      <c r="H139" t="n">
        <v>32160588</v>
      </c>
      <c r="I139" t="n">
        <v>10219</v>
      </c>
      <c r="J139" t="inlineStr">
        <is>
          <t>Pengolahan dan Pengawetan Ikan dengan Metode Lainnya</t>
        </is>
      </c>
      <c r="M139" t="inlineStr">
        <is>
          <t>ALFIRA BANSALENG</t>
        </is>
      </c>
      <c r="N139" t="inlineStr">
        <is>
          <t>PUUNGKOILU</t>
        </is>
      </c>
      <c r="Q139" t="inlineStr">
        <is>
          <t>0. Tidak Ditemukan</t>
        </is>
      </c>
      <c r="R139" t="n">
        <v>0</v>
      </c>
      <c r="V139" t="inlineStr">
        <is>
          <t>Pastikan sesuai kondisi lapangan</t>
        </is>
      </c>
      <c r="W139" t="n">
        <v>0</v>
      </c>
      <c r="AB139" t="inlineStr">
        <is>
          <t>7203030011000700</t>
        </is>
      </c>
      <c r="AC139" t="inlineStr">
        <is>
          <t>APPROVED BY Pengawas</t>
        </is>
      </c>
    </row>
    <row r="140">
      <c r="A140" t="inlineStr">
        <is>
          <t>21caa10d-3741-421e-8d8c-a0e47d62f48c</t>
        </is>
      </c>
      <c r="B140" t="n">
        <v>72</v>
      </c>
      <c r="C140" t="n">
        <v>3</v>
      </c>
      <c r="D140" t="n">
        <v>30</v>
      </c>
      <c r="E140" t="n">
        <v>28</v>
      </c>
      <c r="F140" t="n">
        <v>1</v>
      </c>
      <c r="G140" t="n">
        <v>0</v>
      </c>
      <c r="H140" t="n">
        <v>30892426</v>
      </c>
      <c r="I140" t="n">
        <v>10794</v>
      </c>
      <c r="J140" t="inlineStr">
        <is>
          <t>Industri Kerupuk, Keripik, Peyek, dan Sejenisnya</t>
        </is>
      </c>
      <c r="M140" t="inlineStr">
        <is>
          <t>HATAMIN</t>
        </is>
      </c>
      <c r="N140" t="inlineStr">
        <is>
          <t>LANONA</t>
        </is>
      </c>
      <c r="Q140" t="inlineStr">
        <is>
          <t>0. Tidak Ditemukan</t>
        </is>
      </c>
      <c r="R140" t="n">
        <v>0</v>
      </c>
      <c r="V140" t="inlineStr">
        <is>
          <t>Pastikan sesuai kondisi lapangan</t>
        </is>
      </c>
      <c r="W140" t="n">
        <v>0</v>
      </c>
      <c r="AB140" t="inlineStr">
        <is>
          <t>7203030028000100</t>
        </is>
      </c>
      <c r="AC140" t="inlineStr">
        <is>
          <t>APPROVED BY Pengawas</t>
        </is>
      </c>
    </row>
    <row r="141">
      <c r="A141" t="inlineStr">
        <is>
          <t>aba88617-0cfb-465c-9bb3-22eac57d8705</t>
        </is>
      </c>
      <c r="B141" t="n">
        <v>72</v>
      </c>
      <c r="C141" t="n">
        <v>3</v>
      </c>
      <c r="D141" t="n">
        <v>30</v>
      </c>
      <c r="E141" t="n">
        <v>28</v>
      </c>
      <c r="F141" t="n">
        <v>3</v>
      </c>
      <c r="G141" t="n">
        <v>0</v>
      </c>
      <c r="H141" t="n">
        <v>28087554</v>
      </c>
      <c r="I141" t="n">
        <v>47242</v>
      </c>
      <c r="J141" t="inlineStr">
        <is>
          <t>Perdagangan Eceran Roti, Kue Kering, serta Kue Basah dan Sejenisnya</t>
        </is>
      </c>
      <c r="M141" t="inlineStr">
        <is>
          <t>SAMSIA</t>
        </is>
      </c>
      <c r="N141" t="inlineStr">
        <is>
          <t>LANONA</t>
        </is>
      </c>
      <c r="Q141" t="inlineStr">
        <is>
          <t>0. Tidak Ditemukan</t>
        </is>
      </c>
      <c r="R141" t="n">
        <v>0</v>
      </c>
      <c r="V141" t="inlineStr">
        <is>
          <t>Pastikan sesuai kondisi lapangan</t>
        </is>
      </c>
      <c r="W141" t="n">
        <v>0</v>
      </c>
      <c r="AB141" t="inlineStr">
        <is>
          <t>7203030028000300</t>
        </is>
      </c>
      <c r="AC141" t="inlineStr">
        <is>
          <t>APPROVED BY Pengawas</t>
        </is>
      </c>
    </row>
    <row r="142">
      <c r="A142" t="inlineStr">
        <is>
          <t>ba0890f3-6a2b-4e7e-acb5-40e967911dfc</t>
        </is>
      </c>
      <c r="B142" t="n">
        <v>72</v>
      </c>
      <c r="C142" t="n">
        <v>3</v>
      </c>
      <c r="D142" t="n">
        <v>31</v>
      </c>
      <c r="E142" t="n">
        <v>1</v>
      </c>
      <c r="F142" t="n">
        <v>1</v>
      </c>
      <c r="G142" t="n">
        <v>0</v>
      </c>
      <c r="H142" t="n">
        <v>31265881</v>
      </c>
      <c r="I142" t="n">
        <v>10797</v>
      </c>
      <c r="J142" t="inlineStr">
        <is>
          <t>Industri Infusi Herbal/Herb Infusion</t>
        </is>
      </c>
      <c r="M142" t="inlineStr">
        <is>
          <t>TRI PUJI NURJANAH</t>
        </is>
      </c>
      <c r="N142" t="inlineStr">
        <is>
          <t>ONE PUTE JAYA</t>
        </is>
      </c>
      <c r="Q142" t="inlineStr">
        <is>
          <t>0. Tidak Ditemukan</t>
        </is>
      </c>
      <c r="R142" t="n">
        <v>0</v>
      </c>
      <c r="V142" t="inlineStr">
        <is>
          <t>Pastikan sesuai kondisi lapangan</t>
        </is>
      </c>
      <c r="W142" t="n">
        <v>0</v>
      </c>
      <c r="AB142" t="inlineStr">
        <is>
          <t>7203031001000100</t>
        </is>
      </c>
      <c r="AC142" t="inlineStr">
        <is>
          <t>APPROVED BY Pengawas</t>
        </is>
      </c>
    </row>
    <row r="143">
      <c r="A143" t="inlineStr">
        <is>
          <t>d133274a-ff8b-4842-a34e-c4a31290590b</t>
        </is>
      </c>
      <c r="B143" t="n">
        <v>72</v>
      </c>
      <c r="C143" t="n">
        <v>3</v>
      </c>
      <c r="D143" t="n">
        <v>40</v>
      </c>
      <c r="E143" t="n">
        <v>2</v>
      </c>
      <c r="F143" t="n">
        <v>5</v>
      </c>
      <c r="G143" t="n">
        <v>0</v>
      </c>
      <c r="H143" t="n">
        <v>59698198</v>
      </c>
      <c r="M143" t="inlineStr">
        <is>
          <t>AAHA FOOD DRINK</t>
        </is>
      </c>
      <c r="N143" t="inlineStr">
        <is>
          <t>DESA WOSU</t>
        </is>
      </c>
      <c r="Q143" t="inlineStr">
        <is>
          <t>0. Tidak Ditemukan</t>
        </is>
      </c>
      <c r="R143" t="n">
        <v>0</v>
      </c>
      <c r="V143" t="inlineStr">
        <is>
          <t>Pastikan sesuai kondisi lapangan</t>
        </is>
      </c>
      <c r="W143" t="n">
        <v>0</v>
      </c>
      <c r="AB143" t="inlineStr">
        <is>
          <t>7203040002000500</t>
        </is>
      </c>
      <c r="AC143" t="inlineStr">
        <is>
          <t>APPROVED BY Pengawas</t>
        </is>
      </c>
    </row>
    <row r="144">
      <c r="A144" t="inlineStr">
        <is>
          <t>9ee54480-da8c-408a-8008-4c1f8bc70823</t>
        </is>
      </c>
      <c r="B144" t="n">
        <v>72</v>
      </c>
      <c r="C144" t="n">
        <v>4</v>
      </c>
      <c r="D144" t="n">
        <v>10</v>
      </c>
      <c r="E144" t="n">
        <v>17</v>
      </c>
      <c r="F144" t="n">
        <v>4</v>
      </c>
      <c r="G144" t="n">
        <v>0</v>
      </c>
      <c r="H144" t="n">
        <v>27388574</v>
      </c>
      <c r="I144" t="n">
        <v>10710</v>
      </c>
      <c r="J144" t="inlineStr">
        <is>
          <t>Industri Produk Bakeri</t>
        </is>
      </c>
      <c r="M144" t="inlineStr">
        <is>
          <t>SUSI SURIYATI</t>
        </is>
      </c>
      <c r="N144" t="inlineStr">
        <is>
          <t>JL.TRANS SULAWESI,DESA MAYOA</t>
        </is>
      </c>
      <c r="Q144" t="inlineStr">
        <is>
          <t>0. Tidak Ditemukan</t>
        </is>
      </c>
      <c r="R144" t="n">
        <v>0</v>
      </c>
      <c r="V144" t="inlineStr">
        <is>
          <t>Pastikan sesuai kondisi lapangan</t>
        </is>
      </c>
      <c r="W144" t="n">
        <v>0</v>
      </c>
      <c r="X144" t="inlineStr">
        <is>
          <t>Diketahui keberadaannya</t>
        </is>
      </c>
      <c r="Y144" t="inlineStr">
        <is>
          <t>Mayoa</t>
        </is>
      </c>
      <c r="Z144" t="inlineStr">
        <is>
          <t>RT 08</t>
        </is>
      </c>
      <c r="AA144" t="inlineStr">
        <is>
          <t>Belum didata di SLS sebenarnya</t>
        </is>
      </c>
      <c r="AB144" t="inlineStr">
        <is>
          <t>7204010017000400</t>
        </is>
      </c>
      <c r="AC144" t="inlineStr">
        <is>
          <t>SUBMITTED BY Pencacah</t>
        </is>
      </c>
    </row>
    <row r="145">
      <c r="A145" t="inlineStr">
        <is>
          <t>b1f17be0-358b-4fc1-bfda-e49208b50cf9</t>
        </is>
      </c>
      <c r="B145" t="n">
        <v>72</v>
      </c>
      <c r="C145" t="n">
        <v>4</v>
      </c>
      <c r="D145" t="n">
        <v>10</v>
      </c>
      <c r="E145" t="n">
        <v>21</v>
      </c>
      <c r="F145" t="n">
        <v>3</v>
      </c>
      <c r="G145" t="n">
        <v>0</v>
      </c>
      <c r="H145" t="n">
        <v>26846920</v>
      </c>
      <c r="I145" t="n">
        <v>10710</v>
      </c>
      <c r="J145" t="inlineStr">
        <is>
          <t>Industri Produk Bakeri</t>
        </is>
      </c>
      <c r="M145" t="inlineStr">
        <is>
          <t>Nova Silvana Gorupa</t>
        </is>
      </c>
      <c r="N145" t="inlineStr">
        <is>
          <t>Desa Pasir Putih</t>
        </is>
      </c>
      <c r="Q145" t="inlineStr">
        <is>
          <t>0. Tidak Ditemukan</t>
        </is>
      </c>
      <c r="R145" t="n">
        <v>0</v>
      </c>
      <c r="V145" t="inlineStr">
        <is>
          <t>Pastikan sesuai kondisi lapangan</t>
        </is>
      </c>
      <c r="W145" t="n">
        <v>0</v>
      </c>
      <c r="X145" t="inlineStr">
        <is>
          <t>Diketahui keberadaannya</t>
        </is>
      </c>
      <c r="Y145" t="inlineStr">
        <is>
          <t>Pasir Putih</t>
        </is>
      </c>
      <c r="Z145" t="inlineStr">
        <is>
          <t>RT 01</t>
        </is>
      </c>
      <c r="AA145" t="inlineStr">
        <is>
          <t>Belum didata di SLS sebenarnya</t>
        </is>
      </c>
      <c r="AB145" t="inlineStr">
        <is>
          <t>7204010021000300</t>
        </is>
      </c>
      <c r="AC145" t="inlineStr">
        <is>
          <t>APPROVED BY Pengawas</t>
        </is>
      </c>
    </row>
    <row r="146">
      <c r="A146" t="inlineStr">
        <is>
          <t>7a8a1eca-40bd-4360-8c66-0110ee2fb9cd</t>
        </is>
      </c>
      <c r="B146" t="n">
        <v>72</v>
      </c>
      <c r="C146" t="n">
        <v>4</v>
      </c>
      <c r="D146" t="n">
        <v>10</v>
      </c>
      <c r="E146" t="n">
        <v>21</v>
      </c>
      <c r="F146" t="n">
        <v>4</v>
      </c>
      <c r="G146" t="n">
        <v>0</v>
      </c>
      <c r="H146" t="n">
        <v>29609085</v>
      </c>
      <c r="M146" t="inlineStr">
        <is>
          <t>FERRY TARIDA</t>
        </is>
      </c>
      <c r="N146" t="inlineStr">
        <is>
          <t>ASMIL KIPAN A YONIF 741/SM</t>
        </is>
      </c>
      <c r="Q146" t="inlineStr">
        <is>
          <t>0. Tidak Ditemukan</t>
        </is>
      </c>
      <c r="R146" t="n">
        <v>0</v>
      </c>
      <c r="V146" t="inlineStr">
        <is>
          <t>Pastikan sesuai kondisi lapangan</t>
        </is>
      </c>
      <c r="W146" t="n">
        <v>0</v>
      </c>
      <c r="X146" t="inlineStr">
        <is>
          <t>Diketahui keberadaannya</t>
        </is>
      </c>
      <c r="AA146" t="inlineStr">
        <is>
          <t>Pindah ke luar Poso</t>
        </is>
      </c>
      <c r="AB146" t="inlineStr">
        <is>
          <t>7204010021000400</t>
        </is>
      </c>
      <c r="AC146" t="inlineStr">
        <is>
          <t>APPROVED BY Pengawas</t>
        </is>
      </c>
    </row>
    <row r="147">
      <c r="A147" t="inlineStr">
        <is>
          <t>517821e0-6bf9-43d5-a9b7-fe317154dc5f</t>
        </is>
      </c>
      <c r="B147" t="n">
        <v>72</v>
      </c>
      <c r="C147" t="n">
        <v>4</v>
      </c>
      <c r="D147" t="n">
        <v>21</v>
      </c>
      <c r="E147" t="n">
        <v>2</v>
      </c>
      <c r="F147" t="n">
        <v>3</v>
      </c>
      <c r="G147" t="n">
        <v>0</v>
      </c>
      <c r="H147" t="n">
        <v>27260237</v>
      </c>
      <c r="I147" t="n">
        <v>10794</v>
      </c>
      <c r="J147" t="inlineStr">
        <is>
          <t>Industri Kerupuk, Keripik, Peyek, dan Sejenisnya</t>
        </is>
      </c>
      <c r="M147" t="inlineStr">
        <is>
          <t>HISKIA NDONGA</t>
        </is>
      </c>
      <c r="N147" t="inlineStr">
        <is>
          <t xml:space="preserve">JLN. WELI-WELI </t>
        </is>
      </c>
      <c r="Q147" t="inlineStr">
        <is>
          <t>0. Tidak Ditemukan</t>
        </is>
      </c>
      <c r="R147" t="n">
        <v>0</v>
      </c>
      <c r="V147" t="inlineStr">
        <is>
          <t>Pastikan sesuai kondisi lapangan</t>
        </is>
      </c>
      <c r="W147" t="n">
        <v>0</v>
      </c>
      <c r="X147" t="inlineStr">
        <is>
          <t>Diketahui keberadaannya</t>
        </is>
      </c>
      <c r="Y147" t="inlineStr">
        <is>
          <t>Tomehipi</t>
        </is>
      </c>
      <c r="Z147" t="inlineStr">
        <is>
          <t>RT 01 Dusun 1</t>
        </is>
      </c>
      <c r="AA147" t="inlineStr">
        <is>
          <t>Belum didata di SLS sebenarnya</t>
        </is>
      </c>
      <c r="AB147" t="inlineStr">
        <is>
          <t>7204021002000300</t>
        </is>
      </c>
      <c r="AC147" t="inlineStr">
        <is>
          <t>APPROVED BY Pengawas</t>
        </is>
      </c>
    </row>
    <row r="148">
      <c r="A148" t="inlineStr">
        <is>
          <t>d1b0e285-8f8b-42b5-b695-cfba32d62c06</t>
        </is>
      </c>
      <c r="B148" t="n">
        <v>72</v>
      </c>
      <c r="C148" t="n">
        <v>4</v>
      </c>
      <c r="D148" t="n">
        <v>21</v>
      </c>
      <c r="E148" t="n">
        <v>3</v>
      </c>
      <c r="F148" t="n">
        <v>3</v>
      </c>
      <c r="G148" t="n">
        <v>0</v>
      </c>
      <c r="H148" t="n">
        <v>25856621</v>
      </c>
      <c r="I148" t="n">
        <v>10732</v>
      </c>
      <c r="J148" t="inlineStr">
        <is>
          <t>Industri Cokelat dan Kembang Gula dari Cokelat</t>
        </is>
      </c>
      <c r="M148" t="inlineStr">
        <is>
          <t>NELMAWATI WENGKAU</t>
        </is>
      </c>
      <c r="N148" t="inlineStr">
        <is>
          <t>DESA KAGEROA</t>
        </is>
      </c>
      <c r="Q148" t="inlineStr">
        <is>
          <t>0. Tidak Ditemukan</t>
        </is>
      </c>
      <c r="R148" t="n">
        <v>0</v>
      </c>
      <c r="V148" t="inlineStr">
        <is>
          <t>Pastikan sesuai kondisi lapangan</t>
        </is>
      </c>
      <c r="W148" t="n">
        <v>0</v>
      </c>
      <c r="X148" t="inlineStr">
        <is>
          <t>Diketahui keberadaannya</t>
        </is>
      </c>
      <c r="Y148" t="inlineStr">
        <is>
          <t>Kageroa</t>
        </is>
      </c>
      <c r="Z148" t="inlineStr">
        <is>
          <t>RT 03 Dusun 2</t>
        </is>
      </c>
      <c r="AA148" t="inlineStr">
        <is>
          <t>Belum didata di SLS sebenarnya</t>
        </is>
      </c>
      <c r="AB148" t="inlineStr">
        <is>
          <t>7204021003000300</t>
        </is>
      </c>
      <c r="AC148" t="inlineStr">
        <is>
          <t>REVOKED BY Pengawas</t>
        </is>
      </c>
    </row>
    <row r="149">
      <c r="A149" t="inlineStr">
        <is>
          <t>b72cacf2-c23f-49a4-8c03-0faabd215aca</t>
        </is>
      </c>
      <c r="B149" t="n">
        <v>72</v>
      </c>
      <c r="C149" t="n">
        <v>4</v>
      </c>
      <c r="D149" t="n">
        <v>30</v>
      </c>
      <c r="E149" t="n">
        <v>8</v>
      </c>
      <c r="F149" t="n">
        <v>8</v>
      </c>
      <c r="G149" t="n">
        <v>0</v>
      </c>
      <c r="H149" t="n">
        <v>31139221</v>
      </c>
      <c r="I149" t="n">
        <v>10303</v>
      </c>
      <c r="J149" t="inlineStr">
        <is>
          <t>Pengeringan Buah-buahan dan Sayuran</t>
        </is>
      </c>
      <c r="M149" t="inlineStr">
        <is>
          <t>RYAN HANKEY RANONTO</t>
        </is>
      </c>
      <c r="N149" t="inlineStr">
        <is>
          <t>JL.MANGGA RT/RW 005/002 KEL.TENTENA KEC.PAMONA PUSELEMBA KAB.POSO</t>
        </is>
      </c>
      <c r="Q149" t="inlineStr">
        <is>
          <t>0. Tidak Ditemukan</t>
        </is>
      </c>
      <c r="R149" t="n">
        <v>0</v>
      </c>
      <c r="V149" t="inlineStr">
        <is>
          <t>Pastikan sesuai kondisi lapangan</t>
        </is>
      </c>
      <c r="W149" t="n">
        <v>0</v>
      </c>
      <c r="X149" t="inlineStr">
        <is>
          <t>Diketahui keberadaannya</t>
        </is>
      </c>
      <c r="Y149" t="inlineStr">
        <is>
          <t>Pamona</t>
        </is>
      </c>
      <c r="Z149" t="inlineStr">
        <is>
          <t>RT 18</t>
        </is>
      </c>
      <c r="AA149" t="inlineStr">
        <is>
          <t>Belum didata di SLS sebenarnya</t>
        </is>
      </c>
      <c r="AB149" t="inlineStr">
        <is>
          <t>7204030008000800</t>
        </is>
      </c>
      <c r="AC149" t="inlineStr">
        <is>
          <t>APPROVED BY Pengawas</t>
        </is>
      </c>
    </row>
    <row r="150">
      <c r="A150" t="inlineStr">
        <is>
          <t>d9ad4df7-181c-4c4f-a32a-443ebba62459</t>
        </is>
      </c>
      <c r="B150" t="n">
        <v>72</v>
      </c>
      <c r="C150" t="n">
        <v>4</v>
      </c>
      <c r="D150" t="n">
        <v>30</v>
      </c>
      <c r="E150" t="n">
        <v>8</v>
      </c>
      <c r="F150" t="n">
        <v>11</v>
      </c>
      <c r="G150" t="n">
        <v>0</v>
      </c>
      <c r="H150" t="n">
        <v>26866136</v>
      </c>
      <c r="I150" t="n">
        <v>10710</v>
      </c>
      <c r="J150" t="inlineStr">
        <is>
          <t>Industri Produk Bakeri</t>
        </is>
      </c>
      <c r="M150" t="inlineStr">
        <is>
          <t>FILTRI AMTIRAN</t>
        </is>
      </c>
      <c r="N150" t="inlineStr">
        <is>
          <t>JL. JAMBU</t>
        </is>
      </c>
      <c r="Q150" t="inlineStr">
        <is>
          <t>0. Tidak Ditemukan</t>
        </is>
      </c>
      <c r="R150" t="n">
        <v>0</v>
      </c>
      <c r="V150" t="inlineStr">
        <is>
          <t>Pastikan sesuai kondisi lapangan</t>
        </is>
      </c>
      <c r="W150" t="n">
        <v>0</v>
      </c>
      <c r="X150" t="inlineStr">
        <is>
          <t>Diketahui keberadaannya</t>
        </is>
      </c>
      <c r="Y150" t="inlineStr">
        <is>
          <t>Tentena</t>
        </is>
      </c>
      <c r="Z150" t="inlineStr">
        <is>
          <t>RT 10</t>
        </is>
      </c>
      <c r="AA150" t="inlineStr">
        <is>
          <t>Kios Campuran</t>
        </is>
      </c>
      <c r="AB150" t="inlineStr">
        <is>
          <t>7204030008001100</t>
        </is>
      </c>
      <c r="AC150" t="inlineStr">
        <is>
          <t>APPROVED BY Pengawas</t>
        </is>
      </c>
    </row>
    <row r="151">
      <c r="A151" t="inlineStr">
        <is>
          <t>262496f7-d04f-45ad-8b1e-03c9a4f7f8db</t>
        </is>
      </c>
      <c r="B151" t="n">
        <v>72</v>
      </c>
      <c r="C151" t="n">
        <v>4</v>
      </c>
      <c r="D151" t="n">
        <v>30</v>
      </c>
      <c r="E151" t="n">
        <v>9</v>
      </c>
      <c r="F151" t="n">
        <v>4</v>
      </c>
      <c r="G151" t="n">
        <v>0</v>
      </c>
      <c r="H151" t="n">
        <v>26988184</v>
      </c>
      <c r="I151" t="n">
        <v>10710</v>
      </c>
      <c r="J151" t="inlineStr">
        <is>
          <t>Industri Produk Bakeri</t>
        </is>
      </c>
      <c r="M151" t="inlineStr">
        <is>
          <t>ENDANG N LAMINTU</t>
        </is>
      </c>
      <c r="N151" t="inlineStr">
        <is>
          <t>KEL PAMONA</t>
        </is>
      </c>
      <c r="Q151" t="inlineStr">
        <is>
          <t>0. Tidak Ditemukan</t>
        </is>
      </c>
      <c r="R151" t="n">
        <v>0</v>
      </c>
      <c r="V151" t="inlineStr">
        <is>
          <t>Pastikan sesuai kondisi lapangan</t>
        </is>
      </c>
      <c r="W151" t="n">
        <v>0</v>
      </c>
      <c r="X151" t="inlineStr">
        <is>
          <t>Diketahui keberadaannya</t>
        </is>
      </c>
      <c r="Y151" t="inlineStr">
        <is>
          <t>Pamona</t>
        </is>
      </c>
      <c r="Z151" t="inlineStr">
        <is>
          <t>RT 07</t>
        </is>
      </c>
      <c r="AA151" t="inlineStr">
        <is>
          <t>Usaha dalam Keluarga</t>
        </is>
      </c>
      <c r="AB151" t="inlineStr">
        <is>
          <t>7204030009000400</t>
        </is>
      </c>
      <c r="AC151" t="inlineStr">
        <is>
          <t>APPROVED BY Pengawas</t>
        </is>
      </c>
    </row>
    <row r="152">
      <c r="A152" t="inlineStr">
        <is>
          <t>f14f1dea-44b5-41f4-aea5-4c1d51ed83dd</t>
        </is>
      </c>
      <c r="B152" t="n">
        <v>72</v>
      </c>
      <c r="C152" t="n">
        <v>4</v>
      </c>
      <c r="D152" t="n">
        <v>30</v>
      </c>
      <c r="E152" t="n">
        <v>9</v>
      </c>
      <c r="F152" t="n">
        <v>11</v>
      </c>
      <c r="G152" t="n">
        <v>0</v>
      </c>
      <c r="H152" t="n">
        <v>31770478</v>
      </c>
      <c r="I152" t="n">
        <v>10710</v>
      </c>
      <c r="J152" t="inlineStr">
        <is>
          <t>Industri Produk Bakeri</t>
        </is>
      </c>
      <c r="M152" t="inlineStr">
        <is>
          <t>SELVIANI EVANGLI</t>
        </is>
      </c>
      <c r="N152" t="inlineStr">
        <is>
          <t>JLN. SETIA BUDI</t>
        </is>
      </c>
      <c r="Q152" t="inlineStr">
        <is>
          <t>0. Tidak Ditemukan</t>
        </is>
      </c>
      <c r="R152" t="n">
        <v>0</v>
      </c>
      <c r="V152" t="inlineStr">
        <is>
          <t>Pastikan sesuai kondisi lapangan</t>
        </is>
      </c>
      <c r="W152" t="n">
        <v>0</v>
      </c>
      <c r="X152" t="inlineStr">
        <is>
          <t>Diketahui keberadaannya</t>
        </is>
      </c>
      <c r="Y152" t="inlineStr">
        <is>
          <t>Sangele</t>
        </is>
      </c>
      <c r="Z152" t="inlineStr">
        <is>
          <t>RT 11 RW 03</t>
        </is>
      </c>
      <c r="AA152" t="inlineStr">
        <is>
          <t>hanya ada usaha pertanian dan cengkeh</t>
        </is>
      </c>
      <c r="AB152" t="inlineStr">
        <is>
          <t>7204030009001100</t>
        </is>
      </c>
      <c r="AC152" t="inlineStr">
        <is>
          <t>APPROVED BY Pengawas</t>
        </is>
      </c>
    </row>
    <row r="153">
      <c r="A153" t="inlineStr">
        <is>
          <t>0d00d771-4eb1-4287-ba89-e2ec1315ae6d</t>
        </is>
      </c>
      <c r="B153" t="n">
        <v>72</v>
      </c>
      <c r="C153" t="n">
        <v>4</v>
      </c>
      <c r="D153" t="n">
        <v>30</v>
      </c>
      <c r="E153" t="n">
        <v>10</v>
      </c>
      <c r="F153" t="n">
        <v>7</v>
      </c>
      <c r="G153" t="n">
        <v>0</v>
      </c>
      <c r="H153" t="n">
        <v>27499427</v>
      </c>
      <c r="I153" t="n">
        <v>10794</v>
      </c>
      <c r="J153" t="inlineStr">
        <is>
          <t>Industri Kerupuk, Keripik, Peyek, dan Sejenisnya</t>
        </is>
      </c>
      <c r="M153" t="inlineStr">
        <is>
          <t>HERLINA SUMARAUW</t>
        </is>
      </c>
      <c r="N153" t="inlineStr">
        <is>
          <t>JL. BATURANE, PEURA</t>
        </is>
      </c>
      <c r="Q153" t="inlineStr">
        <is>
          <t>0. Tidak Ditemukan</t>
        </is>
      </c>
      <c r="R153" t="n">
        <v>0</v>
      </c>
      <c r="V153" t="inlineStr">
        <is>
          <t>Pastikan sesuai kondisi lapangan</t>
        </is>
      </c>
      <c r="W153" t="n">
        <v>0</v>
      </c>
      <c r="X153" t="inlineStr">
        <is>
          <t>Tidak Diketahui</t>
        </is>
      </c>
      <c r="AB153" t="inlineStr">
        <is>
          <t>7204030010000700</t>
        </is>
      </c>
      <c r="AC153" t="inlineStr">
        <is>
          <t>SUBMITTED BY Pencacah</t>
        </is>
      </c>
    </row>
    <row r="154">
      <c r="A154" t="inlineStr">
        <is>
          <t>2547672f-2b32-44df-b2be-62df607cef72</t>
        </is>
      </c>
      <c r="B154" t="n">
        <v>72</v>
      </c>
      <c r="C154" t="n">
        <v>4</v>
      </c>
      <c r="D154" t="n">
        <v>31</v>
      </c>
      <c r="E154" t="n">
        <v>10</v>
      </c>
      <c r="F154" t="n">
        <v>1</v>
      </c>
      <c r="G154" t="n">
        <v>0</v>
      </c>
      <c r="H154" t="n">
        <v>29608373</v>
      </c>
      <c r="I154" t="n">
        <v>10794</v>
      </c>
      <c r="J154" t="inlineStr">
        <is>
          <t>Industri Kerupuk, Keripik, Peyek, dan Sejenisnya</t>
        </is>
      </c>
      <c r="M154" t="inlineStr">
        <is>
          <t>ONDONDAYA TALUNCE</t>
        </is>
      </c>
      <c r="N154" t="inlineStr">
        <is>
          <t>JLN PEONCE DESA KELEI</t>
        </is>
      </c>
      <c r="Q154" t="inlineStr">
        <is>
          <t>0. Tidak Ditemukan</t>
        </is>
      </c>
      <c r="R154" t="n">
        <v>0</v>
      </c>
      <c r="V154" t="inlineStr">
        <is>
          <t>Pastikan sesuai kondisi lapangan</t>
        </is>
      </c>
      <c r="W154" t="n">
        <v>0</v>
      </c>
      <c r="X154" t="inlineStr">
        <is>
          <t>Diketahui keberadaannya</t>
        </is>
      </c>
      <c r="Y154" t="inlineStr">
        <is>
          <t>Kelei</t>
        </is>
      </c>
      <c r="Z154" t="inlineStr">
        <is>
          <t>RT 05</t>
        </is>
      </c>
      <c r="AA154" t="inlineStr">
        <is>
          <t>Belum didata di SLS sebenarnya</t>
        </is>
      </c>
      <c r="AB154" t="inlineStr">
        <is>
          <t>7204031010000100</t>
        </is>
      </c>
      <c r="AC154" t="inlineStr">
        <is>
          <t>APPROVED BY Pengawas</t>
        </is>
      </c>
    </row>
    <row r="155">
      <c r="A155" t="inlineStr">
        <is>
          <t>15bf61bc-eb63-4582-9889-19bac9c25c8b</t>
        </is>
      </c>
      <c r="B155" t="n">
        <v>72</v>
      </c>
      <c r="C155" t="n">
        <v>4</v>
      </c>
      <c r="D155" t="n">
        <v>31</v>
      </c>
      <c r="E155" t="n">
        <v>10</v>
      </c>
      <c r="F155" t="n">
        <v>3</v>
      </c>
      <c r="G155" t="n">
        <v>0</v>
      </c>
      <c r="H155" t="n">
        <v>29843831</v>
      </c>
      <c r="I155" t="n">
        <v>10799</v>
      </c>
      <c r="J155" t="inlineStr">
        <is>
          <t>Industri Produk Makanan Lainnya YTDL</t>
        </is>
      </c>
      <c r="M155" t="inlineStr">
        <is>
          <t>Lien sania manewo</t>
        </is>
      </c>
      <c r="N155" t="inlineStr">
        <is>
          <t>Desa Kele'i</t>
        </is>
      </c>
      <c r="Q155" t="inlineStr">
        <is>
          <t>0. Tidak Ditemukan</t>
        </is>
      </c>
      <c r="R155" t="n">
        <v>0</v>
      </c>
      <c r="V155" t="inlineStr">
        <is>
          <t>Pastikan sesuai kondisi lapangan</t>
        </is>
      </c>
      <c r="W155" t="n">
        <v>0</v>
      </c>
      <c r="X155" t="inlineStr">
        <is>
          <t>Tidak Diketahui</t>
        </is>
      </c>
      <c r="AB155" t="inlineStr">
        <is>
          <t>7204031010000300</t>
        </is>
      </c>
      <c r="AC155" t="inlineStr">
        <is>
          <t>APPROVED BY Pengawas</t>
        </is>
      </c>
    </row>
    <row r="156">
      <c r="A156" t="inlineStr">
        <is>
          <t>35fb0a7b-02a2-4cc3-b23f-db28ff83aa1a</t>
        </is>
      </c>
      <c r="B156" t="n">
        <v>72</v>
      </c>
      <c r="C156" t="n">
        <v>4</v>
      </c>
      <c r="D156" t="n">
        <v>31</v>
      </c>
      <c r="E156" t="n">
        <v>10</v>
      </c>
      <c r="F156" t="n">
        <v>5</v>
      </c>
      <c r="G156" t="n">
        <v>0</v>
      </c>
      <c r="H156" t="n">
        <v>28797996</v>
      </c>
      <c r="I156" t="n">
        <v>10794</v>
      </c>
      <c r="J156" t="inlineStr">
        <is>
          <t>Industri Kerupuk, Keripik, Peyek, dan Sejenisnya</t>
        </is>
      </c>
      <c r="M156" t="inlineStr">
        <is>
          <t>YORLIAN NGAYA</t>
        </is>
      </c>
      <c r="N156" t="inlineStr">
        <is>
          <t>KELEI</t>
        </is>
      </c>
      <c r="Q156" t="inlineStr">
        <is>
          <t>0. Tidak Ditemukan</t>
        </is>
      </c>
      <c r="R156" t="n">
        <v>0</v>
      </c>
      <c r="V156" t="inlineStr">
        <is>
          <t>Pastikan sesuai kondisi lapangan</t>
        </is>
      </c>
      <c r="W156" t="n">
        <v>0</v>
      </c>
      <c r="X156" t="inlineStr">
        <is>
          <t>Diketahui keberadaannya</t>
        </is>
      </c>
      <c r="Y156" t="inlineStr">
        <is>
          <t>Kelei</t>
        </is>
      </c>
      <c r="Z156" t="inlineStr">
        <is>
          <t>RT 10</t>
        </is>
      </c>
      <c r="AA156" t="inlineStr">
        <is>
          <t>Belum didata di SLS sebenarnya</t>
        </is>
      </c>
      <c r="AB156" t="inlineStr">
        <is>
          <t>7204031010000500</t>
        </is>
      </c>
      <c r="AC156" t="inlineStr">
        <is>
          <t>APPROVED BY Pengawas</t>
        </is>
      </c>
    </row>
    <row r="157">
      <c r="A157" t="inlineStr">
        <is>
          <t>256836f8-ada9-421c-a7f0-ca77ced020cd</t>
        </is>
      </c>
      <c r="B157" t="n">
        <v>72</v>
      </c>
      <c r="C157" t="n">
        <v>4</v>
      </c>
      <c r="D157" t="n">
        <v>31</v>
      </c>
      <c r="E157" t="n">
        <v>10</v>
      </c>
      <c r="F157" t="n">
        <v>6</v>
      </c>
      <c r="G157" t="n">
        <v>0</v>
      </c>
      <c r="H157" t="n">
        <v>30464007</v>
      </c>
      <c r="I157" t="n">
        <v>10794</v>
      </c>
      <c r="J157" t="inlineStr">
        <is>
          <t>Industri Kerupuk, Keripik, Peyek, dan Sejenisnya</t>
        </is>
      </c>
      <c r="M157" t="inlineStr">
        <is>
          <t>HARIYATI BUAYA</t>
        </is>
      </c>
      <c r="N157" t="inlineStr">
        <is>
          <t>JLN KAYOASA</t>
        </is>
      </c>
      <c r="Q157" t="inlineStr">
        <is>
          <t>0. Tidak Ditemukan</t>
        </is>
      </c>
      <c r="R157" t="n">
        <v>0</v>
      </c>
      <c r="V157" t="inlineStr">
        <is>
          <t>Pastikan sesuai kondisi lapangan</t>
        </is>
      </c>
      <c r="W157" t="n">
        <v>0</v>
      </c>
      <c r="X157" t="inlineStr">
        <is>
          <t>Diketahui keberadaannya</t>
        </is>
      </c>
      <c r="Y157" t="inlineStr">
        <is>
          <t>Kelei</t>
        </is>
      </c>
      <c r="Z157" t="inlineStr">
        <is>
          <t>RT 12</t>
        </is>
      </c>
      <c r="AA157" t="inlineStr">
        <is>
          <t>Belum didata di SLS sebenarnya</t>
        </is>
      </c>
      <c r="AB157" t="inlineStr">
        <is>
          <t>7204031010000600</t>
        </is>
      </c>
      <c r="AC157" t="inlineStr">
        <is>
          <t>APPROVED BY Pengawas</t>
        </is>
      </c>
    </row>
    <row r="158">
      <c r="A158" t="inlineStr">
        <is>
          <t>d100b0c4-7bb2-42eb-a168-d9db06a573d9</t>
        </is>
      </c>
      <c r="B158" t="n">
        <v>72</v>
      </c>
      <c r="C158" t="n">
        <v>4</v>
      </c>
      <c r="D158" t="n">
        <v>31</v>
      </c>
      <c r="E158" t="n">
        <v>10</v>
      </c>
      <c r="F158" t="n">
        <v>7</v>
      </c>
      <c r="G158" t="n">
        <v>0</v>
      </c>
      <c r="H158" t="n">
        <v>26976816</v>
      </c>
      <c r="I158" t="n">
        <v>10794</v>
      </c>
      <c r="J158" t="inlineStr">
        <is>
          <t>Industri Kerupuk, Keripik, Peyek, dan Sejenisnya</t>
        </is>
      </c>
      <c r="M158" t="inlineStr">
        <is>
          <t>AGUSTIN BURIKO</t>
        </is>
      </c>
      <c r="N158" t="inlineStr">
        <is>
          <t>DESA KELEI</t>
        </is>
      </c>
      <c r="Q158" t="inlineStr">
        <is>
          <t>0. Tidak Ditemukan</t>
        </is>
      </c>
      <c r="R158" t="n">
        <v>0</v>
      </c>
      <c r="V158" t="inlineStr">
        <is>
          <t>Pastikan sesuai kondisi lapangan</t>
        </is>
      </c>
      <c r="W158" t="n">
        <v>0</v>
      </c>
      <c r="X158" t="inlineStr">
        <is>
          <t>Diketahui keberadaannya</t>
        </is>
      </c>
      <c r="Y158" t="inlineStr">
        <is>
          <t>Kelei</t>
        </is>
      </c>
      <c r="Z158" t="inlineStr">
        <is>
          <t>RT 03</t>
        </is>
      </c>
      <c r="AA158" t="inlineStr">
        <is>
          <t>Belum didata di SLS sebenarnya</t>
        </is>
      </c>
      <c r="AB158" t="inlineStr">
        <is>
          <t>7204031010000700</t>
        </is>
      </c>
      <c r="AC158" t="inlineStr">
        <is>
          <t>APPROVED BY Pengawas</t>
        </is>
      </c>
    </row>
    <row r="159">
      <c r="A159" t="inlineStr">
        <is>
          <t>9e86c278-6854-418b-990c-43abfcb2fba8</t>
        </is>
      </c>
      <c r="B159" t="n">
        <v>72</v>
      </c>
      <c r="C159" t="n">
        <v>4</v>
      </c>
      <c r="D159" t="n">
        <v>31</v>
      </c>
      <c r="E159" t="n">
        <v>10</v>
      </c>
      <c r="F159" t="n">
        <v>7</v>
      </c>
      <c r="G159" t="n">
        <v>0</v>
      </c>
      <c r="H159" t="n">
        <v>25860732</v>
      </c>
      <c r="I159" t="n">
        <v>10794</v>
      </c>
      <c r="J159" t="inlineStr">
        <is>
          <t>Industri Kerupuk, Keripik, Peyek, dan Sejenisnya</t>
        </is>
      </c>
      <c r="M159" t="inlineStr">
        <is>
          <t>APRILIA RIANTOWE SAWANE</t>
        </is>
      </c>
      <c r="N159" t="inlineStr">
        <is>
          <t>DESA KELE'I</t>
        </is>
      </c>
      <c r="Q159" t="inlineStr">
        <is>
          <t>0. Tidak Ditemukan</t>
        </is>
      </c>
      <c r="R159" t="n">
        <v>0</v>
      </c>
      <c r="V159" t="inlineStr">
        <is>
          <t>Pastikan sesuai kondisi lapangan</t>
        </is>
      </c>
      <c r="W159" t="n">
        <v>0</v>
      </c>
      <c r="X159" t="inlineStr">
        <is>
          <t>Diketahui keberadaannya</t>
        </is>
      </c>
      <c r="Y159" t="inlineStr">
        <is>
          <t>Kelei</t>
        </is>
      </c>
      <c r="Z159" t="inlineStr">
        <is>
          <t>RT 09</t>
        </is>
      </c>
      <c r="AA159" t="inlineStr">
        <is>
          <t>Belum didata di SLS sebenarnya</t>
        </is>
      </c>
      <c r="AB159" t="inlineStr">
        <is>
          <t>7204031010000700</t>
        </is>
      </c>
      <c r="AC159" t="inlineStr">
        <is>
          <t>APPROVED BY Pengawas</t>
        </is>
      </c>
    </row>
    <row r="160">
      <c r="A160" t="inlineStr">
        <is>
          <t>f6d4ef36-ac63-4406-9456-e8e4639d1920</t>
        </is>
      </c>
      <c r="B160" t="n">
        <v>72</v>
      </c>
      <c r="C160" t="n">
        <v>4</v>
      </c>
      <c r="D160" t="n">
        <v>31</v>
      </c>
      <c r="E160" t="n">
        <v>10</v>
      </c>
      <c r="F160" t="n">
        <v>9</v>
      </c>
      <c r="G160" t="n">
        <v>0</v>
      </c>
      <c r="H160" t="n">
        <v>30494226</v>
      </c>
      <c r="I160" t="n">
        <v>10794</v>
      </c>
      <c r="J160" t="inlineStr">
        <is>
          <t>Industri Kerupuk, Keripik, Peyek, dan Sejenisnya</t>
        </is>
      </c>
      <c r="M160" t="inlineStr">
        <is>
          <t>EVALIN TANGKOJO</t>
        </is>
      </c>
      <c r="N160" t="inlineStr">
        <is>
          <t>DESA KELEI</t>
        </is>
      </c>
      <c r="Q160" t="inlineStr">
        <is>
          <t>0. Tidak Ditemukan</t>
        </is>
      </c>
      <c r="R160" t="n">
        <v>0</v>
      </c>
      <c r="V160" t="inlineStr">
        <is>
          <t>Pastikan sesuai kondisi lapangan</t>
        </is>
      </c>
      <c r="W160" t="n">
        <v>0</v>
      </c>
      <c r="X160" t="inlineStr">
        <is>
          <t>Tidak Diketahui</t>
        </is>
      </c>
      <c r="AB160" t="inlineStr">
        <is>
          <t>7204031010000900</t>
        </is>
      </c>
      <c r="AC160" t="inlineStr">
        <is>
          <t>APPROVED BY Pengawas</t>
        </is>
      </c>
    </row>
    <row r="161">
      <c r="A161" t="inlineStr">
        <is>
          <t>a18c160c-d11c-4746-a845-578dc3521fe1</t>
        </is>
      </c>
      <c r="B161" t="n">
        <v>72</v>
      </c>
      <c r="C161" t="n">
        <v>4</v>
      </c>
      <c r="D161" t="n">
        <v>31</v>
      </c>
      <c r="E161" t="n">
        <v>10</v>
      </c>
      <c r="F161" t="n">
        <v>10</v>
      </c>
      <c r="G161" t="n">
        <v>0</v>
      </c>
      <c r="H161" t="n">
        <v>30482953</v>
      </c>
      <c r="I161" t="n">
        <v>10794</v>
      </c>
      <c r="J161" t="inlineStr">
        <is>
          <t>Industri Kerupuk, Keripik, Peyek, dan Sejenisnya</t>
        </is>
      </c>
      <c r="M161" t="inlineStr">
        <is>
          <t>ENDANG MAHRIT BURIKO</t>
        </is>
      </c>
      <c r="N161" t="inlineStr">
        <is>
          <t>DESA KELE'I</t>
        </is>
      </c>
      <c r="Q161" t="inlineStr">
        <is>
          <t>0. Tidak Ditemukan</t>
        </is>
      </c>
      <c r="R161" t="n">
        <v>0</v>
      </c>
      <c r="V161" t="inlineStr">
        <is>
          <t>Pastikan sesuai kondisi lapangan</t>
        </is>
      </c>
      <c r="W161" t="n">
        <v>0</v>
      </c>
      <c r="X161" t="inlineStr">
        <is>
          <t>Tidak Diketahui</t>
        </is>
      </c>
      <c r="AB161" t="inlineStr">
        <is>
          <t>7204031010001000</t>
        </is>
      </c>
      <c r="AC161" t="inlineStr">
        <is>
          <t>APPROVED BY Pengawas</t>
        </is>
      </c>
    </row>
    <row r="162">
      <c r="A162" t="inlineStr">
        <is>
          <t>ffc9d39c-2257-4622-a51f-d0047e296605</t>
        </is>
      </c>
      <c r="B162" t="n">
        <v>72</v>
      </c>
      <c r="C162" t="n">
        <v>4</v>
      </c>
      <c r="D162" t="n">
        <v>31</v>
      </c>
      <c r="E162" t="n">
        <v>11</v>
      </c>
      <c r="F162" t="n">
        <v>4</v>
      </c>
      <c r="G162" t="n">
        <v>0</v>
      </c>
      <c r="H162" t="n">
        <v>31567463</v>
      </c>
      <c r="I162" t="n">
        <v>47112</v>
      </c>
      <c r="J162" t="inlineStr">
        <is>
          <t>Perdagangan Eceran Berbagai Macam Barang yang Utamanya Makanan, Minuman, atau Tembakau Selain dengan Sistem Swalayan</t>
        </is>
      </c>
      <c r="M162" t="inlineStr">
        <is>
          <t>MELSI YANE TANDAWUYA</t>
        </is>
      </c>
      <c r="N162" t="inlineStr">
        <is>
          <t>Matialemba</t>
        </is>
      </c>
      <c r="Q162" t="inlineStr">
        <is>
          <t>0. Tidak Ditemukan</t>
        </is>
      </c>
      <c r="R162" t="n">
        <v>0</v>
      </c>
      <c r="V162" t="inlineStr">
        <is>
          <t>Pastikan sesuai kondisi lapangan</t>
        </is>
      </c>
      <c r="W162" t="n">
        <v>0</v>
      </c>
      <c r="X162" t="inlineStr">
        <is>
          <t>Diketahui keberadaannya</t>
        </is>
      </c>
      <c r="AA162" t="inlineStr">
        <is>
          <t>Tutup, keluarganya pindah ke tentena</t>
        </is>
      </c>
      <c r="AB162" t="inlineStr">
        <is>
          <t>7204031011000400</t>
        </is>
      </c>
      <c r="AC162" t="inlineStr">
        <is>
          <t>APPROVED BY Pengawas</t>
        </is>
      </c>
    </row>
    <row r="163">
      <c r="A163" t="inlineStr">
        <is>
          <t>4d61e8c7-c50f-446c-abd8-6347886e6cc9</t>
        </is>
      </c>
      <c r="B163" t="n">
        <v>72</v>
      </c>
      <c r="C163" t="n">
        <v>4</v>
      </c>
      <c r="D163" t="n">
        <v>32</v>
      </c>
      <c r="E163" t="n">
        <v>10</v>
      </c>
      <c r="F163" t="n">
        <v>1</v>
      </c>
      <c r="G163" t="n">
        <v>0</v>
      </c>
      <c r="H163" t="n">
        <v>28880156</v>
      </c>
      <c r="I163" t="n">
        <v>47219</v>
      </c>
      <c r="J163" t="inlineStr">
        <is>
          <t>Perdagangan Eceran Hasil Pertanian Lainnya</t>
        </is>
      </c>
      <c r="M163" t="inlineStr">
        <is>
          <t>BERLIAN TAGONTJO</t>
        </is>
      </c>
      <c r="N163" t="inlineStr">
        <is>
          <t>JALAN BISALEMBA</t>
        </is>
      </c>
      <c r="Q163" t="inlineStr">
        <is>
          <t>0. Tidak Ditemukan</t>
        </is>
      </c>
      <c r="R163" t="n">
        <v>0</v>
      </c>
      <c r="V163" t="inlineStr">
        <is>
          <t>Pastikan sesuai kondisi lapangan</t>
        </is>
      </c>
      <c r="W163" t="n">
        <v>0</v>
      </c>
      <c r="X163" t="inlineStr">
        <is>
          <t>Diketahui keberadaannya</t>
        </is>
      </c>
      <c r="AA163" t="inlineStr">
        <is>
          <t>Tutup, Kerja di Bali</t>
        </is>
      </c>
      <c r="AB163" t="inlineStr">
        <is>
          <t>7204032010000100</t>
        </is>
      </c>
      <c r="AC163" t="inlineStr">
        <is>
          <t>APPROVED BY Pengawas</t>
        </is>
      </c>
    </row>
    <row r="164">
      <c r="A164" t="inlineStr">
        <is>
          <t>01bbd871-8726-44a5-99d0-862592bd5eb0</t>
        </is>
      </c>
      <c r="B164" t="n">
        <v>72</v>
      </c>
      <c r="C164" t="n">
        <v>4</v>
      </c>
      <c r="D164" t="n">
        <v>32</v>
      </c>
      <c r="E164" t="n">
        <v>10</v>
      </c>
      <c r="F164" t="n">
        <v>1</v>
      </c>
      <c r="G164" t="n">
        <v>0</v>
      </c>
      <c r="H164" t="n">
        <v>30131347</v>
      </c>
      <c r="I164" t="n">
        <v>10794</v>
      </c>
      <c r="J164" t="inlineStr">
        <is>
          <t>Industri Kerupuk, Keripik, Peyek, dan Sejenisnya</t>
        </is>
      </c>
      <c r="K164" t="n">
        <v>56400</v>
      </c>
      <c r="L164" t="inlineStr">
        <is>
          <t>Aktivitas Jasa Intermediasi Penyediaan Makanan dan Minuman</t>
        </is>
      </c>
      <c r="M164" t="inlineStr">
        <is>
          <t>KERUPUK PANGSIT J2 GRACHELA</t>
        </is>
      </c>
      <c r="N164" t="inlineStr">
        <is>
          <t>JALAN BISALEMBA DESA PANJOKA</t>
        </is>
      </c>
      <c r="P164" t="inlineStr">
        <is>
          <t>7202**********04</t>
        </is>
      </c>
      <c r="Q164" t="inlineStr">
        <is>
          <t>1. Ditemukan</t>
        </is>
      </c>
      <c r="R164" t="n">
        <v>1</v>
      </c>
      <c r="V164" t="inlineStr">
        <is>
          <t>Pastikan kode KBLI sesuai dengan kode KBLI cakupan BPOM yang tertera dalam buku Pedoman</t>
        </is>
      </c>
      <c r="W164" t="n">
        <v>0</v>
      </c>
      <c r="X164" t="inlineStr">
        <is>
          <t>Salah Isian</t>
        </is>
      </c>
      <c r="AA164" t="inlineStr">
        <is>
          <t>masih status submit, akan diperbaiki</t>
        </is>
      </c>
      <c r="AB164" t="inlineStr">
        <is>
          <t>7204032010000100</t>
        </is>
      </c>
      <c r="AC164" t="inlineStr">
        <is>
          <t>SUBMITTED BY Pencacah</t>
        </is>
      </c>
    </row>
    <row r="165">
      <c r="A165" t="inlineStr">
        <is>
          <t>f53ce60e-6ffc-4a2e-b770-959676fd043b</t>
        </is>
      </c>
      <c r="B165" t="n">
        <v>72</v>
      </c>
      <c r="C165" t="n">
        <v>4</v>
      </c>
      <c r="D165" t="n">
        <v>32</v>
      </c>
      <c r="E165" t="n">
        <v>10</v>
      </c>
      <c r="F165" t="n">
        <v>1</v>
      </c>
      <c r="G165" t="n">
        <v>0</v>
      </c>
      <c r="H165" t="n">
        <v>29811141</v>
      </c>
      <c r="I165" t="n">
        <v>10710</v>
      </c>
      <c r="J165" t="inlineStr">
        <is>
          <t>Industri Produk Bakeri</t>
        </is>
      </c>
      <c r="M165" t="inlineStr">
        <is>
          <t>Delsin Sinodal Bou</t>
        </is>
      </c>
      <c r="N165" t="inlineStr">
        <is>
          <t>Desa Panjoka</t>
        </is>
      </c>
      <c r="Q165" t="inlineStr">
        <is>
          <t>0. Tidak Ditemukan</t>
        </is>
      </c>
      <c r="R165" t="n">
        <v>0</v>
      </c>
      <c r="V165" t="inlineStr">
        <is>
          <t>Pastikan sesuai kondisi lapangan</t>
        </is>
      </c>
      <c r="W165" t="n">
        <v>0</v>
      </c>
      <c r="X165" t="inlineStr">
        <is>
          <t>Diketahui keberadaannya</t>
        </is>
      </c>
      <c r="AA165" t="inlineStr">
        <is>
          <t>Tutup</t>
        </is>
      </c>
      <c r="AB165" t="inlineStr">
        <is>
          <t>7204032010000100</t>
        </is>
      </c>
      <c r="AC165" t="inlineStr">
        <is>
          <t>EDITED BY Admin Kabupaten</t>
        </is>
      </c>
    </row>
    <row r="166">
      <c r="A166" t="inlineStr">
        <is>
          <t>482daf1d-b5f5-4e2a-a044-0c8fea045d0b</t>
        </is>
      </c>
      <c r="B166" t="n">
        <v>72</v>
      </c>
      <c r="C166" t="n">
        <v>4</v>
      </c>
      <c r="D166" t="n">
        <v>32</v>
      </c>
      <c r="E166" t="n">
        <v>10</v>
      </c>
      <c r="F166" t="n">
        <v>1</v>
      </c>
      <c r="G166" t="n">
        <v>0</v>
      </c>
      <c r="H166" t="n">
        <v>29809886</v>
      </c>
      <c r="I166" t="n">
        <v>10710</v>
      </c>
      <c r="J166" t="inlineStr">
        <is>
          <t>Industri Produk Bakeri</t>
        </is>
      </c>
      <c r="K166" t="n">
        <v>56102</v>
      </c>
      <c r="L166" t="inlineStr">
        <is>
          <t>Aktivitas Penyediaan Makanan di Bangunan Tidak Tetap</t>
        </is>
      </c>
      <c r="M166" t="inlineStr">
        <is>
          <t>PEMBUAT KUE BASAH DEBORA BOU</t>
        </is>
      </c>
      <c r="N166" t="inlineStr">
        <is>
          <t xml:space="preserve">JALAN BISALEMBA </t>
        </is>
      </c>
      <c r="P166" t="inlineStr">
        <is>
          <t>7202**********12</t>
        </is>
      </c>
      <c r="Q166" t="inlineStr">
        <is>
          <t>1. Ditemukan</t>
        </is>
      </c>
      <c r="R166" t="n">
        <v>1</v>
      </c>
      <c r="V166" t="inlineStr">
        <is>
          <t>Pastikan kode KBLI sesuai dengan kode KBLI cakupan BPOM yang tertera dalam buku Pedoman</t>
        </is>
      </c>
      <c r="W166" t="n">
        <v>0</v>
      </c>
      <c r="X166" t="inlineStr">
        <is>
          <t>Diketahui keberadaannya</t>
        </is>
      </c>
      <c r="AA166" t="inlineStr">
        <is>
          <t>Sudah betul, membuat untuk dijual keliling</t>
        </is>
      </c>
      <c r="AB166" t="inlineStr">
        <is>
          <t>7204032010000100</t>
        </is>
      </c>
      <c r="AC166" t="inlineStr">
        <is>
          <t>REJECTED BY Pengawas</t>
        </is>
      </c>
    </row>
    <row r="167">
      <c r="A167" t="inlineStr">
        <is>
          <t>864e7130-2799-4ae6-ad15-c9c2ec064b8b</t>
        </is>
      </c>
      <c r="B167" t="n">
        <v>72</v>
      </c>
      <c r="C167" t="n">
        <v>4</v>
      </c>
      <c r="D167" t="n">
        <v>42</v>
      </c>
      <c r="E167" t="n">
        <v>3</v>
      </c>
      <c r="F167" t="n">
        <v>6</v>
      </c>
      <c r="G167" t="n">
        <v>0</v>
      </c>
      <c r="H167" t="n">
        <v>28601623</v>
      </c>
      <c r="I167" t="n">
        <v>10761</v>
      </c>
      <c r="J167" t="inlineStr">
        <is>
          <t>Pengolahan Kopi</t>
        </is>
      </c>
      <c r="M167" t="inlineStr">
        <is>
          <t>YUSTIN TALANTAN</t>
        </is>
      </c>
      <c r="N167" t="inlineStr">
        <is>
          <t>DESA WINOWANGA</t>
        </is>
      </c>
      <c r="Q167" t="inlineStr">
        <is>
          <t>0. Tidak Ditemukan</t>
        </is>
      </c>
      <c r="R167" t="n">
        <v>0</v>
      </c>
      <c r="V167" t="inlineStr">
        <is>
          <t>Pastikan sesuai kondisi lapangan</t>
        </is>
      </c>
      <c r="W167" t="n">
        <v>0</v>
      </c>
      <c r="X167" t="inlineStr">
        <is>
          <t>Tidak Diketahui</t>
        </is>
      </c>
      <c r="AB167" t="inlineStr">
        <is>
          <t>7204042003000600</t>
        </is>
      </c>
      <c r="AC167" t="inlineStr">
        <is>
          <t>APPROVED BY Pengawas</t>
        </is>
      </c>
    </row>
    <row r="168">
      <c r="A168" t="inlineStr">
        <is>
          <t>8b8935cb-54f9-4a0d-a12f-8ca454dc89c4</t>
        </is>
      </c>
      <c r="B168" t="n">
        <v>72</v>
      </c>
      <c r="C168" t="n">
        <v>4</v>
      </c>
      <c r="D168" t="n">
        <v>43</v>
      </c>
      <c r="E168" t="n">
        <v>2</v>
      </c>
      <c r="F168" t="n">
        <v>4</v>
      </c>
      <c r="G168" t="n">
        <v>0</v>
      </c>
      <c r="H168" t="n">
        <v>27721439</v>
      </c>
      <c r="I168" t="n">
        <v>10761</v>
      </c>
      <c r="J168" t="inlineStr">
        <is>
          <t>Pengolahan Kopi</t>
        </is>
      </c>
      <c r="M168" t="inlineStr">
        <is>
          <t>NURLIN BENUKU</t>
        </is>
      </c>
      <c r="N168" t="inlineStr">
        <is>
          <t>DESA BETUE</t>
        </is>
      </c>
      <c r="Q168" t="inlineStr">
        <is>
          <t>0. Tidak Ditemukan</t>
        </is>
      </c>
      <c r="R168" t="n">
        <v>0</v>
      </c>
      <c r="V168" t="inlineStr">
        <is>
          <t>Pastikan sesuai kondisi lapangan</t>
        </is>
      </c>
      <c r="W168" t="n">
        <v>0</v>
      </c>
      <c r="X168" t="inlineStr">
        <is>
          <t>Salah Isian</t>
        </is>
      </c>
      <c r="AA168" t="inlineStr">
        <is>
          <t>Usaha kopi di dalam keluarga</t>
        </is>
      </c>
      <c r="AB168" t="inlineStr">
        <is>
          <t>7204043002000400</t>
        </is>
      </c>
      <c r="AC168" t="inlineStr">
        <is>
          <t>APPROVED BY Pengawas</t>
        </is>
      </c>
    </row>
    <row r="169">
      <c r="A169" t="inlineStr">
        <is>
          <t>760f471e-c456-450c-8d86-63f9bb4961c3</t>
        </is>
      </c>
      <c r="B169" t="n">
        <v>72</v>
      </c>
      <c r="C169" t="n">
        <v>4</v>
      </c>
      <c r="D169" t="n">
        <v>50</v>
      </c>
      <c r="E169" t="n">
        <v>9</v>
      </c>
      <c r="F169" t="n">
        <v>3</v>
      </c>
      <c r="G169" t="n">
        <v>0</v>
      </c>
      <c r="H169" t="n">
        <v>27598359</v>
      </c>
      <c r="I169" t="n">
        <v>10761</v>
      </c>
      <c r="J169" t="inlineStr">
        <is>
          <t>Pengolahan Kopi</t>
        </is>
      </c>
      <c r="M169" t="inlineStr">
        <is>
          <t>ALI SANNANG</t>
        </is>
      </c>
      <c r="N169" t="inlineStr">
        <is>
          <t>DUSUN RATALEMBA</t>
        </is>
      </c>
      <c r="Q169" t="inlineStr">
        <is>
          <t>0. Tidak Ditemukan</t>
        </is>
      </c>
      <c r="R169" t="n">
        <v>0</v>
      </c>
      <c r="V169" t="inlineStr">
        <is>
          <t>Pastikan sesuai kondisi lapangan</t>
        </is>
      </c>
      <c r="W169" t="n">
        <v>0</v>
      </c>
      <c r="X169" t="inlineStr">
        <is>
          <t>Tidak Diketahui</t>
        </is>
      </c>
      <c r="AB169" t="inlineStr">
        <is>
          <t>7204050009000300</t>
        </is>
      </c>
      <c r="AC169" t="inlineStr">
        <is>
          <t>APPROVED BY Pengawas</t>
        </is>
      </c>
    </row>
    <row r="170">
      <c r="A170" t="inlineStr">
        <is>
          <t>ec9b47bc-ffe8-4724-ac81-3c0f7cdc3c75</t>
        </is>
      </c>
      <c r="B170" t="n">
        <v>72</v>
      </c>
      <c r="C170" t="n">
        <v>4</v>
      </c>
      <c r="D170" t="n">
        <v>50</v>
      </c>
      <c r="E170" t="n">
        <v>9</v>
      </c>
      <c r="F170" t="n">
        <v>4</v>
      </c>
      <c r="G170" t="n">
        <v>0</v>
      </c>
      <c r="H170" t="n">
        <v>31288565</v>
      </c>
      <c r="I170" t="n">
        <v>10710</v>
      </c>
      <c r="J170" t="inlineStr">
        <is>
          <t>Industri Produk Bakeri</t>
        </is>
      </c>
      <c r="M170" t="inlineStr">
        <is>
          <t>NUR MISBA LIKUKONDO</t>
        </is>
      </c>
      <c r="N170" t="inlineStr">
        <is>
          <t>DUSUN RATALEMBA</t>
        </is>
      </c>
      <c r="Q170" t="inlineStr">
        <is>
          <t>0. Tidak Ditemukan</t>
        </is>
      </c>
      <c r="R170" t="n">
        <v>0</v>
      </c>
      <c r="V170" t="inlineStr">
        <is>
          <t>Pastikan sesuai kondisi lapangan</t>
        </is>
      </c>
      <c r="W170" t="n">
        <v>0</v>
      </c>
      <c r="X170" t="inlineStr">
        <is>
          <t>Tidak Diketahui</t>
        </is>
      </c>
      <c r="AB170" t="inlineStr">
        <is>
          <t>7204050009000400</t>
        </is>
      </c>
      <c r="AC170" t="inlineStr">
        <is>
          <t>APPROVED BY Pengawas</t>
        </is>
      </c>
    </row>
    <row r="171">
      <c r="A171" t="inlineStr">
        <is>
          <t>42355992-cd22-4fed-bb85-c583fd84fbe9</t>
        </is>
      </c>
      <c r="B171" t="n">
        <v>72</v>
      </c>
      <c r="C171" t="n">
        <v>4</v>
      </c>
      <c r="D171" t="n">
        <v>50</v>
      </c>
      <c r="E171" t="n">
        <v>12</v>
      </c>
      <c r="F171" t="n">
        <v>4</v>
      </c>
      <c r="G171" t="n">
        <v>0</v>
      </c>
      <c r="H171" t="n">
        <v>2613495</v>
      </c>
      <c r="I171" t="n">
        <v>10710</v>
      </c>
      <c r="J171" t="inlineStr">
        <is>
          <t>Industri Produk Bakeri</t>
        </is>
      </c>
      <c r="M171" t="inlineStr">
        <is>
          <t>TOMINI BASUDARA PANGAN</t>
        </is>
      </c>
      <c r="N171" t="inlineStr">
        <is>
          <t>TRANS SULAWESI</t>
        </is>
      </c>
      <c r="Q171" t="inlineStr">
        <is>
          <t>0. Tidak Ditemukan</t>
        </is>
      </c>
      <c r="R171" t="n">
        <v>0</v>
      </c>
      <c r="V171" t="inlineStr">
        <is>
          <t>Pastikan sesuai kondisi lapangan</t>
        </is>
      </c>
      <c r="W171" t="n">
        <v>0</v>
      </c>
      <c r="X171" t="inlineStr">
        <is>
          <t>Tidak Diketahui</t>
        </is>
      </c>
      <c r="AB171" t="inlineStr">
        <is>
          <t>7204050012000400</t>
        </is>
      </c>
      <c r="AC171" t="inlineStr">
        <is>
          <t>SUBMITTED BY Pencacah</t>
        </is>
      </c>
    </row>
    <row r="172">
      <c r="A172" t="inlineStr">
        <is>
          <t>a0b51fa7-8680-486f-a983-09e51a1f40af</t>
        </is>
      </c>
      <c r="B172" t="n">
        <v>72</v>
      </c>
      <c r="C172" t="n">
        <v>4</v>
      </c>
      <c r="D172" t="n">
        <v>50</v>
      </c>
      <c r="E172" t="n">
        <v>15</v>
      </c>
      <c r="F172" t="n">
        <v>1</v>
      </c>
      <c r="G172" t="n">
        <v>0</v>
      </c>
      <c r="H172" t="n">
        <v>30337262</v>
      </c>
      <c r="I172" t="n">
        <v>10303</v>
      </c>
      <c r="J172" t="inlineStr">
        <is>
          <t>Pengeringan Buah-buahan dan Sayuran</t>
        </is>
      </c>
      <c r="M172" t="inlineStr">
        <is>
          <t>NURMIN LAMADE</t>
        </is>
      </c>
      <c r="N172" t="inlineStr">
        <is>
          <t>JLN. TRANS NAPU</t>
        </is>
      </c>
      <c r="Q172" t="inlineStr">
        <is>
          <t>0. Tidak Ditemukan</t>
        </is>
      </c>
      <c r="R172" t="n">
        <v>0</v>
      </c>
      <c r="V172" t="inlineStr">
        <is>
          <t>Pastikan sesuai kondisi lapangan</t>
        </is>
      </c>
      <c r="W172" t="n">
        <v>0</v>
      </c>
      <c r="X172" t="inlineStr">
        <is>
          <t>Diketahui keberadaannya</t>
        </is>
      </c>
      <c r="Y172" t="inlineStr">
        <is>
          <t>Tabalu</t>
        </is>
      </c>
      <c r="Z172" t="inlineStr">
        <is>
          <t>RT 05</t>
        </is>
      </c>
      <c r="AA172" t="inlineStr">
        <is>
          <t>Belum didata di SLS sebenarnya</t>
        </is>
      </c>
      <c r="AB172" t="inlineStr">
        <is>
          <t>7204050015000100</t>
        </is>
      </c>
      <c r="AC172" t="inlineStr">
        <is>
          <t>SUBMITTED BY Pencacah</t>
        </is>
      </c>
    </row>
    <row r="173">
      <c r="A173" t="inlineStr">
        <is>
          <t>922b4669-8197-4a18-bf23-635b16f68bd3</t>
        </is>
      </c>
      <c r="B173" t="n">
        <v>72</v>
      </c>
      <c r="C173" t="n">
        <v>4</v>
      </c>
      <c r="D173" t="n">
        <v>51</v>
      </c>
      <c r="E173" t="n">
        <v>5</v>
      </c>
      <c r="F173" t="n">
        <v>4</v>
      </c>
      <c r="G173" t="n">
        <v>0</v>
      </c>
      <c r="H173" t="n">
        <v>31184967</v>
      </c>
      <c r="I173" t="n">
        <v>10710</v>
      </c>
      <c r="J173" t="inlineStr">
        <is>
          <t>Industri Produk Bakeri</t>
        </is>
      </c>
      <c r="M173" t="inlineStr">
        <is>
          <t>SARCE BIRALINO</t>
        </is>
      </c>
      <c r="N173" t="inlineStr">
        <is>
          <t>DESA PATIWUNGA</t>
        </is>
      </c>
      <c r="Q173" t="inlineStr">
        <is>
          <t>0. Tidak Ditemukan</t>
        </is>
      </c>
      <c r="R173" t="n">
        <v>0</v>
      </c>
      <c r="V173" t="inlineStr">
        <is>
          <t>Pastikan sesuai kondisi lapangan</t>
        </is>
      </c>
      <c r="W173" t="n">
        <v>0</v>
      </c>
      <c r="X173" t="inlineStr">
        <is>
          <t>Diketahui keberadaannya</t>
        </is>
      </c>
      <c r="Y173" t="inlineStr">
        <is>
          <t>Patiwunga</t>
        </is>
      </c>
      <c r="Z173" t="inlineStr">
        <is>
          <t>RT 01 Dusun 2</t>
        </is>
      </c>
      <c r="AA173" t="inlineStr">
        <is>
          <t>Belum didata di SLS sebenarnya</t>
        </is>
      </c>
      <c r="AB173" t="inlineStr">
        <is>
          <t>7204051005000400</t>
        </is>
      </c>
      <c r="AC173" t="inlineStr">
        <is>
          <t>APPROVED BY Pengawas</t>
        </is>
      </c>
    </row>
    <row r="174">
      <c r="A174" t="inlineStr">
        <is>
          <t>e4b2aca0-f035-4a86-bcf2-d9a28d56725b</t>
        </is>
      </c>
      <c r="B174" t="n">
        <v>72</v>
      </c>
      <c r="C174" t="n">
        <v>4</v>
      </c>
      <c r="D174" t="n">
        <v>60</v>
      </c>
      <c r="E174" t="n">
        <v>9</v>
      </c>
      <c r="F174" t="n">
        <v>6</v>
      </c>
      <c r="G174" t="n">
        <v>0</v>
      </c>
      <c r="H174" t="n">
        <v>26994087</v>
      </c>
      <c r="I174" t="n">
        <v>10422</v>
      </c>
      <c r="J174" t="inlineStr">
        <is>
          <t>Industri Minyak Mentah Kelapa</t>
        </is>
      </c>
      <c r="M174" t="inlineStr">
        <is>
          <t>YETTIDIAN ANGGRIANI MERONTJO</t>
        </is>
      </c>
      <c r="N174" t="inlineStr">
        <is>
          <t xml:space="preserve">JL. TRANS POSO AMPANA </t>
        </is>
      </c>
      <c r="Q174" t="inlineStr">
        <is>
          <t>0. Tidak Ditemukan</t>
        </is>
      </c>
      <c r="R174" t="n">
        <v>0</v>
      </c>
      <c r="V174" t="inlineStr">
        <is>
          <t>Pastikan sesuai kondisi lapangan</t>
        </is>
      </c>
      <c r="W174" t="n">
        <v>0</v>
      </c>
      <c r="X174" t="inlineStr">
        <is>
          <t>Diketahui keberadaannya</t>
        </is>
      </c>
      <c r="AA174" t="inlineStr">
        <is>
          <t>Pindah ke Morowali</t>
        </is>
      </c>
      <c r="AB174" t="inlineStr">
        <is>
          <t>7204060009000600</t>
        </is>
      </c>
      <c r="AC174" t="inlineStr">
        <is>
          <t>APPROVED BY Pengawas</t>
        </is>
      </c>
    </row>
    <row r="175">
      <c r="A175" t="inlineStr">
        <is>
          <t>b9713b87-1067-48a7-9634-8c8e9b037e23</t>
        </is>
      </c>
      <c r="B175" t="n">
        <v>72</v>
      </c>
      <c r="C175" t="n">
        <v>4</v>
      </c>
      <c r="D175" t="n">
        <v>70</v>
      </c>
      <c r="E175" t="n">
        <v>6</v>
      </c>
      <c r="F175" t="n">
        <v>1</v>
      </c>
      <c r="G175" t="n">
        <v>0</v>
      </c>
      <c r="H175" t="n">
        <v>30371470</v>
      </c>
      <c r="I175" t="n">
        <v>10212</v>
      </c>
      <c r="J175" t="inlineStr">
        <is>
          <t>Pengolahan dan Pengawetan Ikan dengan Pengasapan atau Pemanggangan</t>
        </is>
      </c>
      <c r="K175" t="n">
        <v>1279</v>
      </c>
      <c r="L175" t="inlineStr">
        <is>
          <t>Pertanian Tanaman untuk Bahan Minuman Lainnya</t>
        </is>
      </c>
      <c r="M175" t="inlineStr">
        <is>
          <t>ANDI RATI PURWATI</t>
        </is>
      </c>
      <c r="N175" t="inlineStr">
        <is>
          <t xml:space="preserve">JLN P KALIMANTAN </t>
        </is>
      </c>
      <c r="P175" t="inlineStr">
        <is>
          <t>9999</t>
        </is>
      </c>
      <c r="Q175" t="inlineStr">
        <is>
          <t>1. Ditemukan</t>
        </is>
      </c>
      <c r="R175" t="n">
        <v>1</v>
      </c>
      <c r="V175" t="inlineStr">
        <is>
          <t>Pastikan kode KBLI sesuai dengan kode KBLI cakupan BPOM yang tertera dalam buku Pedoman</t>
        </is>
      </c>
      <c r="W175" t="n">
        <v>0</v>
      </c>
      <c r="X175" t="inlineStr">
        <is>
          <t>Salah Isian</t>
        </is>
      </c>
      <c r="AA175" t="inlineStr">
        <is>
          <t>masih status submit</t>
        </is>
      </c>
      <c r="AB175" t="inlineStr">
        <is>
          <t>7204070006000100</t>
        </is>
      </c>
      <c r="AC175" t="inlineStr">
        <is>
          <t>SUBMITTED BY Pencacah</t>
        </is>
      </c>
    </row>
    <row r="176">
      <c r="A176" t="inlineStr">
        <is>
          <t>324e4a4e-5ace-4a62-88a5-8b41d981b852</t>
        </is>
      </c>
      <c r="B176" t="n">
        <v>72</v>
      </c>
      <c r="C176" t="n">
        <v>4</v>
      </c>
      <c r="D176" t="n">
        <v>70</v>
      </c>
      <c r="E176" t="n">
        <v>6</v>
      </c>
      <c r="F176" t="n">
        <v>8</v>
      </c>
      <c r="G176" t="n">
        <v>0</v>
      </c>
      <c r="H176" t="n">
        <v>31395209</v>
      </c>
      <c r="I176" t="n">
        <v>10710</v>
      </c>
      <c r="J176" t="inlineStr">
        <is>
          <t>Industri Produk Bakeri</t>
        </is>
      </c>
      <c r="M176" t="inlineStr">
        <is>
          <t>SITI MAISARA</t>
        </is>
      </c>
      <c r="N176" t="inlineStr">
        <is>
          <t>JL. P IRIAN JAYA</t>
        </is>
      </c>
      <c r="Q176" t="inlineStr">
        <is>
          <t>0. Tidak Ditemukan</t>
        </is>
      </c>
      <c r="R176" t="n">
        <v>0</v>
      </c>
      <c r="V176" t="inlineStr">
        <is>
          <t>Pastikan sesuai kondisi lapangan</t>
        </is>
      </c>
      <c r="W176" t="n">
        <v>0</v>
      </c>
      <c r="X176" t="inlineStr">
        <is>
          <t>Tidak Diketahui</t>
        </is>
      </c>
      <c r="AB176" t="inlineStr">
        <is>
          <t>7204070006000800</t>
        </is>
      </c>
      <c r="AC176" t="inlineStr">
        <is>
          <t>APPROVED BY Pengawas</t>
        </is>
      </c>
    </row>
    <row r="177">
      <c r="A177" t="inlineStr">
        <is>
          <t>d2806475-9e7c-453d-8025-dcf9614294bb</t>
        </is>
      </c>
      <c r="B177" t="n">
        <v>72</v>
      </c>
      <c r="C177" t="n">
        <v>4</v>
      </c>
      <c r="D177" t="n">
        <v>70</v>
      </c>
      <c r="E177" t="n">
        <v>6</v>
      </c>
      <c r="F177" t="n">
        <v>10</v>
      </c>
      <c r="G177" t="n">
        <v>0</v>
      </c>
      <c r="H177" t="n">
        <v>32416012</v>
      </c>
      <c r="I177" t="n">
        <v>10794</v>
      </c>
      <c r="J177" t="inlineStr">
        <is>
          <t>Industri Kerupuk, Keripik, Peyek, dan Sejenisnya</t>
        </is>
      </c>
      <c r="M177" t="inlineStr">
        <is>
          <t>RUBINAH</t>
        </is>
      </c>
      <c r="N177" t="inlineStr">
        <is>
          <t>JALAN PULAU IRIAN JAYA</t>
        </is>
      </c>
      <c r="Q177" t="inlineStr">
        <is>
          <t>0. Tidak Ditemukan</t>
        </is>
      </c>
      <c r="R177" t="n">
        <v>0</v>
      </c>
      <c r="V177" t="inlineStr">
        <is>
          <t>Pastikan sesuai kondisi lapangan</t>
        </is>
      </c>
      <c r="W177" t="n">
        <v>0</v>
      </c>
      <c r="X177" t="inlineStr">
        <is>
          <t>Diketahui keberadaannya</t>
        </is>
      </c>
      <c r="Y177" t="inlineStr">
        <is>
          <t>Gebangrejo</t>
        </is>
      </c>
      <c r="Z177" t="inlineStr">
        <is>
          <t>RT 11 RW 04</t>
        </is>
      </c>
      <c r="AA177" t="inlineStr">
        <is>
          <t>Belum didata di SLS sebenarnya</t>
        </is>
      </c>
      <c r="AB177" t="inlineStr">
        <is>
          <t>7204070006001000</t>
        </is>
      </c>
      <c r="AC177" t="inlineStr">
        <is>
          <t>REJECTED BY Pengawas</t>
        </is>
      </c>
    </row>
    <row r="178">
      <c r="A178" t="inlineStr">
        <is>
          <t>49f97830-4147-4f8a-b845-fd86d19487a3</t>
        </is>
      </c>
      <c r="B178" t="n">
        <v>72</v>
      </c>
      <c r="C178" t="n">
        <v>4</v>
      </c>
      <c r="D178" t="n">
        <v>70</v>
      </c>
      <c r="E178" t="n">
        <v>7</v>
      </c>
      <c r="F178" t="n">
        <v>8</v>
      </c>
      <c r="G178" t="n">
        <v>0</v>
      </c>
      <c r="H178" t="n">
        <v>31227477</v>
      </c>
      <c r="I178" t="n">
        <v>10422</v>
      </c>
      <c r="J178" t="inlineStr">
        <is>
          <t>Industri Minyak Mentah Kelapa</t>
        </is>
      </c>
      <c r="M178" t="inlineStr">
        <is>
          <t>NURINTAN TANDEWAYU</t>
        </is>
      </c>
      <c r="N178" t="inlineStr">
        <is>
          <t>JL. PULAU BATAM</t>
        </is>
      </c>
      <c r="Q178" t="inlineStr">
        <is>
          <t>0. Tidak Ditemukan</t>
        </is>
      </c>
      <c r="R178" t="n">
        <v>0</v>
      </c>
      <c r="V178" t="inlineStr">
        <is>
          <t>Pastikan sesuai kondisi lapangan</t>
        </is>
      </c>
      <c r="W178" t="n">
        <v>0</v>
      </c>
      <c r="X178" t="inlineStr">
        <is>
          <t>Diketahui keberadaannya</t>
        </is>
      </c>
      <c r="Y178" t="inlineStr">
        <is>
          <t>Moengko</t>
        </is>
      </c>
      <c r="Z178" t="inlineStr">
        <is>
          <t>RT 09 RW 02</t>
        </is>
      </c>
      <c r="AA178" t="inlineStr">
        <is>
          <t>Tutup</t>
        </is>
      </c>
      <c r="AB178" t="inlineStr">
        <is>
          <t>7204070007000800</t>
        </is>
      </c>
      <c r="AC178" t="inlineStr">
        <is>
          <t>APPROVED BY Pengawas</t>
        </is>
      </c>
    </row>
    <row r="179">
      <c r="A179" t="inlineStr">
        <is>
          <t>54b30975-162c-4f95-9420-f3b2b3ab0f8b</t>
        </is>
      </c>
      <c r="B179" t="n">
        <v>72</v>
      </c>
      <c r="C179" t="n">
        <v>4</v>
      </c>
      <c r="D179" t="n">
        <v>70</v>
      </c>
      <c r="E179" t="n">
        <v>7</v>
      </c>
      <c r="F179" t="n">
        <v>9</v>
      </c>
      <c r="G179" t="n">
        <v>0</v>
      </c>
      <c r="H179" t="n">
        <v>30074185</v>
      </c>
      <c r="I179" t="n">
        <v>10710</v>
      </c>
      <c r="J179" t="inlineStr">
        <is>
          <t>Industri Produk Bakeri</t>
        </is>
      </c>
      <c r="M179" t="inlineStr">
        <is>
          <t>ASRIANI. S</t>
        </is>
      </c>
      <c r="N179" t="inlineStr">
        <is>
          <t>JL.P . BATAM</t>
        </is>
      </c>
      <c r="Q179" t="inlineStr">
        <is>
          <t>0. Tidak Ditemukan</t>
        </is>
      </c>
      <c r="R179" t="n">
        <v>0</v>
      </c>
      <c r="V179" t="inlineStr">
        <is>
          <t>Pastikan sesuai kondisi lapangan</t>
        </is>
      </c>
      <c r="W179" t="n">
        <v>0</v>
      </c>
      <c r="X179" t="inlineStr">
        <is>
          <t>Diketahui keberadaannya</t>
        </is>
      </c>
      <c r="Y179" t="inlineStr">
        <is>
          <t>Moengko</t>
        </is>
      </c>
      <c r="Z179" t="inlineStr">
        <is>
          <t>RT 11 RW 01</t>
        </is>
      </c>
      <c r="AA179" t="inlineStr">
        <is>
          <t>Belum didata di SLS sebenarnya, usaha dalam keluarga</t>
        </is>
      </c>
      <c r="AB179" t="inlineStr">
        <is>
          <t>7204070007000900</t>
        </is>
      </c>
      <c r="AC179" t="inlineStr">
        <is>
          <t>APPROVED BY Pengawas</t>
        </is>
      </c>
    </row>
    <row r="180">
      <c r="A180" t="inlineStr">
        <is>
          <t>8eabc0cc-5fca-4b62-a9e4-6685d8048acd</t>
        </is>
      </c>
      <c r="B180" t="n">
        <v>72</v>
      </c>
      <c r="C180" t="n">
        <v>4</v>
      </c>
      <c r="D180" t="n">
        <v>70</v>
      </c>
      <c r="E180" t="n">
        <v>7</v>
      </c>
      <c r="F180" t="n">
        <v>9</v>
      </c>
      <c r="G180" t="n">
        <v>0</v>
      </c>
      <c r="H180" t="n">
        <v>27501952</v>
      </c>
      <c r="M180" t="inlineStr">
        <is>
          <t>SAFRINA</t>
        </is>
      </c>
      <c r="N180" t="inlineStr">
        <is>
          <t>JL. P BATAM</t>
        </is>
      </c>
      <c r="Q180" t="inlineStr">
        <is>
          <t>0. Tidak Ditemukan</t>
        </is>
      </c>
      <c r="R180" t="n">
        <v>0</v>
      </c>
      <c r="V180" t="inlineStr">
        <is>
          <t>Pastikan sesuai kondisi lapangan</t>
        </is>
      </c>
      <c r="W180" t="n">
        <v>0</v>
      </c>
      <c r="X180" t="inlineStr">
        <is>
          <t>Tidak Diketahui</t>
        </is>
      </c>
      <c r="AB180" t="inlineStr">
        <is>
          <t>7204070007000900</t>
        </is>
      </c>
      <c r="AC180" t="inlineStr">
        <is>
          <t>APPROVED BY Pengawas</t>
        </is>
      </c>
    </row>
    <row r="181">
      <c r="A181" t="inlineStr">
        <is>
          <t>763e9212-285c-40bc-bf51-cd9af425d3e4</t>
        </is>
      </c>
      <c r="B181" t="n">
        <v>72</v>
      </c>
      <c r="C181" t="n">
        <v>4</v>
      </c>
      <c r="D181" t="n">
        <v>70</v>
      </c>
      <c r="E181" t="n">
        <v>9</v>
      </c>
      <c r="F181" t="n">
        <v>6</v>
      </c>
      <c r="G181" t="n">
        <v>0</v>
      </c>
      <c r="H181" t="n">
        <v>30565318</v>
      </c>
      <c r="I181" t="n">
        <v>10794</v>
      </c>
      <c r="J181" t="inlineStr">
        <is>
          <t>Industri Kerupuk, Keripik, Peyek, dan Sejenisnya</t>
        </is>
      </c>
      <c r="M181" t="inlineStr">
        <is>
          <t>DRA. HADIRA</t>
        </is>
      </c>
      <c r="N181" t="inlineStr">
        <is>
          <t>JL. P. SABANG</t>
        </is>
      </c>
      <c r="Q181" t="inlineStr">
        <is>
          <t>0. Tidak Ditemukan</t>
        </is>
      </c>
      <c r="R181" t="n">
        <v>0</v>
      </c>
      <c r="V181" t="inlineStr">
        <is>
          <t>Pastikan sesuai kondisi lapangan</t>
        </is>
      </c>
      <c r="W181" t="n">
        <v>0</v>
      </c>
      <c r="X181" t="inlineStr">
        <is>
          <t>Tidak Diketahui</t>
        </is>
      </c>
      <c r="AB181" t="inlineStr">
        <is>
          <t>7204070009000600</t>
        </is>
      </c>
      <c r="AC181" t="inlineStr">
        <is>
          <t>APPROVED BY Pengawas</t>
        </is>
      </c>
    </row>
    <row r="182">
      <c r="A182" t="inlineStr">
        <is>
          <t>c290760b-7230-4a64-b1d2-2cab3a2800db</t>
        </is>
      </c>
      <c r="B182" t="n">
        <v>72</v>
      </c>
      <c r="C182" t="n">
        <v>4</v>
      </c>
      <c r="D182" t="n">
        <v>70</v>
      </c>
      <c r="E182" t="n">
        <v>9</v>
      </c>
      <c r="F182" t="n">
        <v>6</v>
      </c>
      <c r="G182" t="n">
        <v>0</v>
      </c>
      <c r="H182" t="n">
        <v>30151843</v>
      </c>
      <c r="I182" t="n">
        <v>10710</v>
      </c>
      <c r="J182" t="inlineStr">
        <is>
          <t>Industri Produk Bakeri</t>
        </is>
      </c>
      <c r="M182" t="inlineStr">
        <is>
          <t>FITRIA DJUFRI</t>
        </is>
      </c>
      <c r="N182" t="inlineStr">
        <is>
          <t>JL P SABANG</t>
        </is>
      </c>
      <c r="Q182" t="inlineStr">
        <is>
          <t>0. Tidak Ditemukan</t>
        </is>
      </c>
      <c r="R182" t="n">
        <v>0</v>
      </c>
      <c r="V182" t="inlineStr">
        <is>
          <t>Pastikan sesuai kondisi lapangan</t>
        </is>
      </c>
      <c r="W182" t="n">
        <v>0</v>
      </c>
      <c r="X182" t="inlineStr">
        <is>
          <t>Diketahui keberadaannya</t>
        </is>
      </c>
      <c r="Y182" t="inlineStr">
        <is>
          <t>Kayamanya</t>
        </is>
      </c>
      <c r="Z182" t="inlineStr">
        <is>
          <t>RT 10 RW 01</t>
        </is>
      </c>
      <c r="AA182" t="inlineStr">
        <is>
          <t>Belum didata di SLS sebenarnya</t>
        </is>
      </c>
      <c r="AB182" t="inlineStr">
        <is>
          <t>7204070009000600</t>
        </is>
      </c>
      <c r="AC182" t="inlineStr">
        <is>
          <t>APPROVED BY Pengawas</t>
        </is>
      </c>
    </row>
    <row r="183">
      <c r="A183" t="inlineStr">
        <is>
          <t>ed373ba3-7948-4f1f-8b0c-6f58e7b815a1</t>
        </is>
      </c>
      <c r="B183" t="n">
        <v>72</v>
      </c>
      <c r="C183" t="n">
        <v>4</v>
      </c>
      <c r="D183" t="n">
        <v>70</v>
      </c>
      <c r="E183" t="n">
        <v>9</v>
      </c>
      <c r="F183" t="n">
        <v>12</v>
      </c>
      <c r="G183" t="n">
        <v>0</v>
      </c>
      <c r="H183" t="n">
        <v>27300715</v>
      </c>
      <c r="I183" t="n">
        <v>10219</v>
      </c>
      <c r="J183" t="inlineStr">
        <is>
          <t>Pengolahan dan Pengawetan Ikan dengan Metode Lainnya</t>
        </is>
      </c>
      <c r="M183" t="inlineStr">
        <is>
          <t>ZUMROTUN NAFIA</t>
        </is>
      </c>
      <c r="N183" t="inlineStr">
        <is>
          <t>JL. P. SABANG</t>
        </is>
      </c>
      <c r="Q183" t="inlineStr">
        <is>
          <t>0. Tidak Ditemukan</t>
        </is>
      </c>
      <c r="R183" t="n">
        <v>0</v>
      </c>
      <c r="V183" t="inlineStr">
        <is>
          <t>Pastikan sesuai kondisi lapangan</t>
        </is>
      </c>
      <c r="W183" t="n">
        <v>0</v>
      </c>
      <c r="X183" t="inlineStr">
        <is>
          <t>Diketahui keberadaannya</t>
        </is>
      </c>
      <c r="Y183" t="inlineStr">
        <is>
          <t>Kayamanya</t>
        </is>
      </c>
      <c r="Z183" t="inlineStr">
        <is>
          <t>RT 15 RW 04</t>
        </is>
      </c>
      <c r="AA183" t="inlineStr">
        <is>
          <t>Usaha dalam Keluarga pembuatan abon</t>
        </is>
      </c>
      <c r="AB183" t="inlineStr">
        <is>
          <t>7204070009001200</t>
        </is>
      </c>
      <c r="AC183" t="inlineStr">
        <is>
          <t>APPROVED BY Pengawas</t>
        </is>
      </c>
    </row>
    <row r="184">
      <c r="A184" t="inlineStr">
        <is>
          <t>46699e6f-1669-4ec4-918c-e280cd0efef1</t>
        </is>
      </c>
      <c r="B184" t="n">
        <v>72</v>
      </c>
      <c r="C184" t="n">
        <v>4</v>
      </c>
      <c r="D184" t="n">
        <v>71</v>
      </c>
      <c r="E184" t="n">
        <v>4</v>
      </c>
      <c r="F184" t="n">
        <v>3</v>
      </c>
      <c r="G184" t="n">
        <v>0</v>
      </c>
      <c r="H184" t="n">
        <v>27172427</v>
      </c>
      <c r="I184" t="n">
        <v>47219</v>
      </c>
      <c r="J184" t="inlineStr">
        <is>
          <t>Perdagangan Eceran Hasil Pertanian Lainnya</t>
        </is>
      </c>
      <c r="M184" t="inlineStr">
        <is>
          <t>KASMURI SALAMAH</t>
        </is>
      </c>
      <c r="N184" t="inlineStr">
        <is>
          <t>JL. UMANASOLI NO. 451 RT 04 / RW 02</t>
        </is>
      </c>
      <c r="Q184" t="inlineStr">
        <is>
          <t>0. Tidak Ditemukan</t>
        </is>
      </c>
      <c r="R184" t="n">
        <v>0</v>
      </c>
      <c r="V184" t="inlineStr">
        <is>
          <t>Pastikan sesuai kondisi lapangan</t>
        </is>
      </c>
      <c r="W184" t="n">
        <v>0</v>
      </c>
      <c r="X184" t="inlineStr">
        <is>
          <t>Diketahui keberadaannya</t>
        </is>
      </c>
      <c r="Y184" t="inlineStr">
        <is>
          <t>Lawanga</t>
        </is>
      </c>
      <c r="Z184" t="inlineStr">
        <is>
          <t>RT 04</t>
        </is>
      </c>
      <c r="AA184" t="inlineStr">
        <is>
          <t>Belum didata di SLS sebenarnya</t>
        </is>
      </c>
      <c r="AB184" t="inlineStr">
        <is>
          <t>7204071004000300</t>
        </is>
      </c>
      <c r="AC184" t="inlineStr">
        <is>
          <t>APPROVED BY Pengawas</t>
        </is>
      </c>
    </row>
    <row r="185">
      <c r="A185" t="inlineStr">
        <is>
          <t>da7dab0c-6a3c-4abf-9340-bb846a826240</t>
        </is>
      </c>
      <c r="B185" t="n">
        <v>72</v>
      </c>
      <c r="C185" t="n">
        <v>4</v>
      </c>
      <c r="D185" t="n">
        <v>71</v>
      </c>
      <c r="E185" t="n">
        <v>7</v>
      </c>
      <c r="F185" t="n">
        <v>6</v>
      </c>
      <c r="G185" t="n">
        <v>0</v>
      </c>
      <c r="H185" t="n">
        <v>30352578</v>
      </c>
      <c r="I185" t="n">
        <v>10729</v>
      </c>
      <c r="J185" t="inlineStr">
        <is>
          <t>Industri Gula Lainnya</t>
        </is>
      </c>
      <c r="K185" t="n">
        <v>10792</v>
      </c>
      <c r="L185" t="inlineStr">
        <is>
          <t>Industri Kue Basah</t>
        </is>
      </c>
      <c r="M185" t="inlineStr">
        <is>
          <t>PENJUAL KUE (DIAN AFRIYANTI)</t>
        </is>
      </c>
      <c r="N185" t="inlineStr">
        <is>
          <t>JLN. LETJEND SUPRAPTO -</t>
        </is>
      </c>
      <c r="P185" t="inlineStr">
        <is>
          <t>7202**********03</t>
        </is>
      </c>
      <c r="Q185" t="inlineStr">
        <is>
          <t>1. Ditemukan</t>
        </is>
      </c>
      <c r="R185" t="n">
        <v>1</v>
      </c>
      <c r="S185" t="inlineStr">
        <is>
          <t>3. Tidak</t>
        </is>
      </c>
      <c r="U185" t="n">
        <v>10</v>
      </c>
      <c r="W185" t="n">
        <v>1</v>
      </c>
      <c r="X185" t="inlineStr">
        <is>
          <t>Diketahui keberadaannya</t>
        </is>
      </c>
      <c r="AA185" t="inlineStr">
        <is>
          <t>Sudah betul isian</t>
        </is>
      </c>
      <c r="AB185" t="inlineStr">
        <is>
          <t>7204071007000600</t>
        </is>
      </c>
      <c r="AC185" t="inlineStr">
        <is>
          <t>APPROVED BY Pengawas</t>
        </is>
      </c>
    </row>
    <row r="186">
      <c r="A186" t="inlineStr">
        <is>
          <t>858c2e0c-13e0-460c-b4ff-515f875bc470</t>
        </is>
      </c>
      <c r="B186" t="n">
        <v>72</v>
      </c>
      <c r="C186" t="n">
        <v>4</v>
      </c>
      <c r="D186" t="n">
        <v>72</v>
      </c>
      <c r="E186" t="n">
        <v>5</v>
      </c>
      <c r="F186" t="n">
        <v>1</v>
      </c>
      <c r="G186" t="n">
        <v>0</v>
      </c>
      <c r="H186" t="n">
        <v>30059604</v>
      </c>
      <c r="I186" t="n">
        <v>10219</v>
      </c>
      <c r="J186" t="inlineStr">
        <is>
          <t>Pengolahan dan Pengawetan Ikan dengan Metode Lainnya</t>
        </is>
      </c>
      <c r="M186" t="inlineStr">
        <is>
          <t>WIDYA EKA PRATIWI TUKIDJO</t>
        </is>
      </c>
      <c r="N186" t="inlineStr">
        <is>
          <t>JL. P. DIPONEGORO</t>
        </is>
      </c>
      <c r="Q186" t="inlineStr">
        <is>
          <t>0. Tidak Ditemukan</t>
        </is>
      </c>
      <c r="R186" t="n">
        <v>0</v>
      </c>
      <c r="V186" t="inlineStr">
        <is>
          <t>Pastikan sesuai kondisi lapangan</t>
        </is>
      </c>
      <c r="W186" t="n">
        <v>0</v>
      </c>
      <c r="X186" t="inlineStr">
        <is>
          <t>Diketahui keberadaannya</t>
        </is>
      </c>
      <c r="AA186" t="inlineStr">
        <is>
          <t>Pindah ke Bungku</t>
        </is>
      </c>
      <c r="AB186" t="inlineStr">
        <is>
          <t>7204072005000100</t>
        </is>
      </c>
      <c r="AC186" t="inlineStr">
        <is>
          <t>APPROVED BY Pengawas</t>
        </is>
      </c>
    </row>
    <row r="187">
      <c r="A187" t="inlineStr">
        <is>
          <t>99f36e17-e083-4633-91eb-276930e7d385</t>
        </is>
      </c>
      <c r="B187" t="n">
        <v>72</v>
      </c>
      <c r="C187" t="n">
        <v>5</v>
      </c>
      <c r="D187" t="n">
        <v>41</v>
      </c>
      <c r="E187" t="n">
        <v>4</v>
      </c>
      <c r="F187" t="n">
        <v>15</v>
      </c>
      <c r="G187" t="n">
        <v>0</v>
      </c>
      <c r="H187" t="n">
        <v>28960558</v>
      </c>
      <c r="I187" t="n">
        <v>10794</v>
      </c>
      <c r="J187" t="inlineStr">
        <is>
          <t>Industri Kerupuk, Keripik, Peyek, dan Sejenisnya</t>
        </is>
      </c>
      <c r="M187" t="inlineStr">
        <is>
          <t>AIMATUL AMRUROH</t>
        </is>
      </c>
      <c r="N187" t="inlineStr">
        <is>
          <t>DESA TINAUKA SP 3</t>
        </is>
      </c>
      <c r="Q187" t="inlineStr">
        <is>
          <t>0. Tidak Ditemukan</t>
        </is>
      </c>
      <c r="R187" t="n">
        <v>0</v>
      </c>
      <c r="V187" t="inlineStr">
        <is>
          <t>Pastikan sesuai kondisi lapangan</t>
        </is>
      </c>
      <c r="W187" t="n">
        <v>0</v>
      </c>
      <c r="AB187" t="inlineStr">
        <is>
          <t>7205041004001500</t>
        </is>
      </c>
      <c r="AC187" t="inlineStr">
        <is>
          <t>APPROVED BY Pengawas</t>
        </is>
      </c>
    </row>
    <row r="188">
      <c r="A188" t="inlineStr">
        <is>
          <t>2ed826be-d3db-4df8-aef6-7d3e26280478</t>
        </is>
      </c>
      <c r="B188" t="n">
        <v>72</v>
      </c>
      <c r="C188" t="n">
        <v>5</v>
      </c>
      <c r="D188" t="n">
        <v>80</v>
      </c>
      <c r="E188" t="n">
        <v>25</v>
      </c>
      <c r="F188" t="n">
        <v>9</v>
      </c>
      <c r="G188" t="n">
        <v>0</v>
      </c>
      <c r="H188" t="n">
        <v>26580423</v>
      </c>
      <c r="I188" t="n">
        <v>10794</v>
      </c>
      <c r="J188" t="inlineStr">
        <is>
          <t>Industri Kerupuk, Keripik, Peyek, dan Sejenisnya</t>
        </is>
      </c>
      <c r="M188" t="inlineStr">
        <is>
          <t>FELIANTI</t>
        </is>
      </c>
      <c r="N188" t="inlineStr">
        <is>
          <t>JL. BANAWA NO 54</t>
        </is>
      </c>
      <c r="Q188" t="inlineStr">
        <is>
          <t>0. Tidak Ditemukan</t>
        </is>
      </c>
      <c r="R188" t="n">
        <v>0</v>
      </c>
      <c r="V188" t="inlineStr">
        <is>
          <t>Pastikan sesuai kondisi lapangan</t>
        </is>
      </c>
      <c r="W188" t="n">
        <v>0</v>
      </c>
      <c r="AB188" t="inlineStr">
        <is>
          <t>7205080025000900</t>
        </is>
      </c>
      <c r="AC188" t="inlineStr">
        <is>
          <t>APPROVED BY Pengawas</t>
        </is>
      </c>
    </row>
    <row r="189">
      <c r="A189" t="inlineStr">
        <is>
          <t>39d223a7-dd49-4dea-a09a-0b16f3193e7a</t>
        </is>
      </c>
      <c r="B189" t="n">
        <v>72</v>
      </c>
      <c r="C189" t="n">
        <v>5</v>
      </c>
      <c r="D189" t="n">
        <v>81</v>
      </c>
      <c r="E189" t="n">
        <v>11</v>
      </c>
      <c r="F189" t="n">
        <v>1</v>
      </c>
      <c r="G189" t="n">
        <v>2</v>
      </c>
      <c r="H189" t="n">
        <v>26951768</v>
      </c>
      <c r="I189" t="n">
        <v>10793</v>
      </c>
      <c r="J189" t="inlineStr">
        <is>
          <t>Industri Produk Makanan dari Kelapa</t>
        </is>
      </c>
      <c r="M189" t="inlineStr">
        <is>
          <t>FIDIA SAID</t>
        </is>
      </c>
      <c r="N189" t="inlineStr">
        <is>
          <t>DUSUN IV KANGANDO</t>
        </is>
      </c>
      <c r="Q189" t="inlineStr">
        <is>
          <t>0. Tidak Ditemukan</t>
        </is>
      </c>
      <c r="R189" t="n">
        <v>0</v>
      </c>
      <c r="V189" t="inlineStr">
        <is>
          <t>Pastikan sesuai kondisi lapangan</t>
        </is>
      </c>
      <c r="W189" t="n">
        <v>0</v>
      </c>
      <c r="AB189" t="inlineStr">
        <is>
          <t>7205081011000102</t>
        </is>
      </c>
      <c r="AC189" t="inlineStr">
        <is>
          <t>APPROVED BY Pengawas</t>
        </is>
      </c>
    </row>
    <row r="190">
      <c r="A190" t="inlineStr">
        <is>
          <t>84f98164-5cc5-40a0-ab0b-360a72273a1d</t>
        </is>
      </c>
      <c r="B190" t="n">
        <v>72</v>
      </c>
      <c r="C190" t="n">
        <v>5</v>
      </c>
      <c r="D190" t="n">
        <v>82</v>
      </c>
      <c r="E190" t="n">
        <v>3</v>
      </c>
      <c r="F190" t="n">
        <v>2</v>
      </c>
      <c r="G190" t="n">
        <v>0</v>
      </c>
      <c r="H190" t="n">
        <v>29809474</v>
      </c>
      <c r="M190" t="inlineStr">
        <is>
          <t>MIRAWATY SULAIMAN</t>
        </is>
      </c>
      <c r="N190" t="inlineStr">
        <is>
          <t>JL. TRANS SULAWESI</t>
        </is>
      </c>
      <c r="Q190" t="inlineStr">
        <is>
          <t>0. Tidak Ditemukan</t>
        </is>
      </c>
      <c r="R190" t="n">
        <v>0</v>
      </c>
      <c r="V190" t="inlineStr">
        <is>
          <t>Pastikan sesuai kondisi lapangan</t>
        </is>
      </c>
      <c r="W190" t="n">
        <v>0</v>
      </c>
      <c r="AB190" t="inlineStr">
        <is>
          <t>7205082003000200</t>
        </is>
      </c>
      <c r="AC190" t="inlineStr">
        <is>
          <t>APPROVED BY Pengawas</t>
        </is>
      </c>
    </row>
    <row r="191">
      <c r="A191" t="inlineStr">
        <is>
          <t>911ae22f-2c5a-4fea-92eb-3fbdfc00d713</t>
        </is>
      </c>
      <c r="B191" t="n">
        <v>72</v>
      </c>
      <c r="C191" t="n">
        <v>5</v>
      </c>
      <c r="D191" t="n">
        <v>82</v>
      </c>
      <c r="E191" t="n">
        <v>5</v>
      </c>
      <c r="F191" t="n">
        <v>6</v>
      </c>
      <c r="G191" t="n">
        <v>0</v>
      </c>
      <c r="H191" t="n">
        <v>31919208</v>
      </c>
      <c r="I191" t="n">
        <v>10423</v>
      </c>
      <c r="J191" t="inlineStr">
        <is>
          <t>Industri Minyak Goreng Kelapa</t>
        </is>
      </c>
      <c r="M191" t="inlineStr">
        <is>
          <t>IRNA</t>
        </is>
      </c>
      <c r="N191" t="inlineStr">
        <is>
          <t>JL. TRANS SULAWESI, DESA LIMBORO</t>
        </is>
      </c>
      <c r="Q191" t="inlineStr">
        <is>
          <t>0. Tidak Ditemukan</t>
        </is>
      </c>
      <c r="R191" t="n">
        <v>0</v>
      </c>
      <c r="V191" t="inlineStr">
        <is>
          <t>Pastikan sesuai kondisi lapangan</t>
        </is>
      </c>
      <c r="W191" t="n">
        <v>0</v>
      </c>
      <c r="AB191" t="inlineStr">
        <is>
          <t>7205082005000600</t>
        </is>
      </c>
      <c r="AC191" t="inlineStr">
        <is>
          <t>APPROVED BY Pengawas</t>
        </is>
      </c>
    </row>
    <row r="192">
      <c r="A192" t="inlineStr">
        <is>
          <t>dc07464f-637a-4771-a742-1cd5792690e5</t>
        </is>
      </c>
      <c r="B192" t="n">
        <v>72</v>
      </c>
      <c r="C192" t="n">
        <v>5</v>
      </c>
      <c r="D192" t="n">
        <v>91</v>
      </c>
      <c r="E192" t="n">
        <v>2</v>
      </c>
      <c r="F192" t="n">
        <v>14</v>
      </c>
      <c r="G192" t="n">
        <v>0</v>
      </c>
      <c r="H192" t="n">
        <v>30941607</v>
      </c>
      <c r="I192" t="n">
        <v>10794</v>
      </c>
      <c r="J192" t="inlineStr">
        <is>
          <t>Industri Kerupuk, Keripik, Peyek, dan Sejenisnya</t>
        </is>
      </c>
      <c r="M192" t="inlineStr">
        <is>
          <t>AHKAM</t>
        </is>
      </c>
      <c r="N192" t="inlineStr">
        <is>
          <t>JL.TOGELELE</t>
        </is>
      </c>
      <c r="Q192" t="inlineStr">
        <is>
          <t>0. Tidak Ditemukan</t>
        </is>
      </c>
      <c r="R192" t="n">
        <v>0</v>
      </c>
      <c r="V192" t="inlineStr">
        <is>
          <t>Pastikan sesuai kondisi lapangan</t>
        </is>
      </c>
      <c r="W192" t="n">
        <v>0</v>
      </c>
      <c r="AB192" t="inlineStr">
        <is>
          <t>7205091002001400</t>
        </is>
      </c>
      <c r="AC192" t="inlineStr">
        <is>
          <t>APPROVED BY Pengawas</t>
        </is>
      </c>
    </row>
    <row r="193">
      <c r="A193" t="inlineStr">
        <is>
          <t>dfaeef0a-9300-4286-b867-e880ac56962f</t>
        </is>
      </c>
      <c r="B193" t="n">
        <v>72</v>
      </c>
      <c r="C193" t="n">
        <v>5</v>
      </c>
      <c r="D193" t="n">
        <v>100</v>
      </c>
      <c r="E193" t="n">
        <v>7</v>
      </c>
      <c r="F193" t="n">
        <v>5</v>
      </c>
      <c r="G193" t="n">
        <v>0</v>
      </c>
      <c r="H193" t="n">
        <v>30937373</v>
      </c>
      <c r="I193" t="n">
        <v>10422</v>
      </c>
      <c r="J193" t="inlineStr">
        <is>
          <t>Industri Minyak Mentah Kelapa</t>
        </is>
      </c>
      <c r="M193" t="inlineStr">
        <is>
          <t>NETIMUNA</t>
        </is>
      </c>
      <c r="N193" t="inlineStr">
        <is>
          <t>DESA KAVAYA</t>
        </is>
      </c>
      <c r="Q193" t="inlineStr">
        <is>
          <t>0. Tidak Ditemukan</t>
        </is>
      </c>
      <c r="R193" t="n">
        <v>0</v>
      </c>
      <c r="V193" t="inlineStr">
        <is>
          <t>Pastikan sesuai kondisi lapangan</t>
        </is>
      </c>
      <c r="W193" t="n">
        <v>0</v>
      </c>
      <c r="AB193" t="inlineStr">
        <is>
          <t>7205100007000500</t>
        </is>
      </c>
      <c r="AC193" t="inlineStr">
        <is>
          <t>APPROVED BY Pengawas</t>
        </is>
      </c>
    </row>
    <row r="194">
      <c r="A194" t="inlineStr">
        <is>
          <t>e2ac47ef-233e-4c37-9cb1-11c8b28abbcf</t>
        </is>
      </c>
      <c r="B194" t="n">
        <v>72</v>
      </c>
      <c r="C194" t="n">
        <v>5</v>
      </c>
      <c r="D194" t="n">
        <v>100</v>
      </c>
      <c r="E194" t="n">
        <v>8</v>
      </c>
      <c r="F194" t="n">
        <v>1</v>
      </c>
      <c r="G194" t="n">
        <v>0</v>
      </c>
      <c r="H194" t="n">
        <v>27636295</v>
      </c>
      <c r="I194" t="n">
        <v>10761</v>
      </c>
      <c r="J194" t="inlineStr">
        <is>
          <t>Pengolahan Kopi</t>
        </is>
      </c>
      <c r="M194" t="inlineStr">
        <is>
          <t>ULFIAN</t>
        </is>
      </c>
      <c r="N194" t="inlineStr">
        <is>
          <t>JL.PALU SABANG DESA ENU</t>
        </is>
      </c>
      <c r="Q194" t="inlineStr">
        <is>
          <t>0. Tidak Ditemukan</t>
        </is>
      </c>
      <c r="R194" t="n">
        <v>0</v>
      </c>
      <c r="V194" t="inlineStr">
        <is>
          <t>Pastikan sesuai kondisi lapangan</t>
        </is>
      </c>
      <c r="W194" t="n">
        <v>0</v>
      </c>
      <c r="AB194" t="inlineStr">
        <is>
          <t>7205100008000100</t>
        </is>
      </c>
      <c r="AC194" t="inlineStr">
        <is>
          <t>APPROVED BY Pengawas</t>
        </is>
      </c>
    </row>
    <row r="195">
      <c r="A195" t="inlineStr">
        <is>
          <t>8facb3da-eade-42de-a9d5-6e34011c82d9</t>
        </is>
      </c>
      <c r="B195" t="n">
        <v>72</v>
      </c>
      <c r="C195" t="n">
        <v>5</v>
      </c>
      <c r="D195" t="n">
        <v>100</v>
      </c>
      <c r="E195" t="n">
        <v>17</v>
      </c>
      <c r="F195" t="n">
        <v>2</v>
      </c>
      <c r="G195" t="n">
        <v>0</v>
      </c>
      <c r="H195" t="n">
        <v>29525823</v>
      </c>
      <c r="I195" t="n">
        <v>10422</v>
      </c>
      <c r="J195" t="inlineStr">
        <is>
          <t>Industri Minyak Mentah Kelapa</t>
        </is>
      </c>
      <c r="M195" t="inlineStr">
        <is>
          <t>NURSANG</t>
        </is>
      </c>
      <c r="N195" t="inlineStr">
        <is>
          <t>TOAYA VUNTA</t>
        </is>
      </c>
      <c r="Q195" t="inlineStr">
        <is>
          <t>0. Tidak Ditemukan</t>
        </is>
      </c>
      <c r="R195" t="n">
        <v>0</v>
      </c>
      <c r="V195" t="inlineStr">
        <is>
          <t>Pastikan sesuai kondisi lapangan</t>
        </is>
      </c>
      <c r="W195" t="n">
        <v>0</v>
      </c>
      <c r="AB195" t="inlineStr">
        <is>
          <t>7205100017000200</t>
        </is>
      </c>
      <c r="AC195" t="inlineStr">
        <is>
          <t>SUBMITTED BY Pencacah</t>
        </is>
      </c>
    </row>
    <row r="196">
      <c r="A196" t="inlineStr">
        <is>
          <t>da9b7ccd-9f04-4b3c-b847-b3e848ac47ef</t>
        </is>
      </c>
      <c r="B196" t="n">
        <v>72</v>
      </c>
      <c r="C196" t="n">
        <v>5</v>
      </c>
      <c r="D196" t="n">
        <v>100</v>
      </c>
      <c r="E196" t="n">
        <v>17</v>
      </c>
      <c r="F196" t="n">
        <v>3</v>
      </c>
      <c r="G196" t="n">
        <v>0</v>
      </c>
      <c r="H196" t="n">
        <v>32418259</v>
      </c>
      <c r="I196" t="n">
        <v>47242</v>
      </c>
      <c r="J196" t="inlineStr">
        <is>
          <t>Perdagangan Eceran Roti, Kue Kering, serta Kue Basah dan Sejenisnya</t>
        </is>
      </c>
      <c r="M196" t="inlineStr">
        <is>
          <t>NINTJE UMBOKAHU</t>
        </is>
      </c>
      <c r="N196" t="inlineStr">
        <is>
          <t>DUSUN III</t>
        </is>
      </c>
      <c r="Q196" t="inlineStr">
        <is>
          <t>0. Tidak Ditemukan</t>
        </is>
      </c>
      <c r="R196" t="n">
        <v>0</v>
      </c>
      <c r="V196" t="inlineStr">
        <is>
          <t>Pastikan sesuai kondisi lapangan</t>
        </is>
      </c>
      <c r="W196" t="n">
        <v>0</v>
      </c>
      <c r="AB196" t="inlineStr">
        <is>
          <t>7205100017000300</t>
        </is>
      </c>
      <c r="AC196" t="inlineStr">
        <is>
          <t>APPROVED BY Pengawas</t>
        </is>
      </c>
    </row>
    <row r="197">
      <c r="A197" t="inlineStr">
        <is>
          <t>83331bc6-da3f-46d3-9027-286a45771ff9</t>
        </is>
      </c>
      <c r="B197" t="n">
        <v>72</v>
      </c>
      <c r="C197" t="n">
        <v>5</v>
      </c>
      <c r="D197" t="n">
        <v>101</v>
      </c>
      <c r="E197" t="n">
        <v>5</v>
      </c>
      <c r="F197" t="n">
        <v>2</v>
      </c>
      <c r="G197" t="n">
        <v>0</v>
      </c>
      <c r="H197" t="n">
        <v>29489693</v>
      </c>
      <c r="I197" t="n">
        <v>10799</v>
      </c>
      <c r="J197" t="inlineStr">
        <is>
          <t>Industri Produk Makanan Lainnya YTDL</t>
        </is>
      </c>
      <c r="M197" t="inlineStr">
        <is>
          <t>ANITA VERONIKA</t>
        </is>
      </c>
      <c r="N197" t="inlineStr">
        <is>
          <t>DESA OTI</t>
        </is>
      </c>
      <c r="Q197" t="inlineStr">
        <is>
          <t>0. Tidak Ditemukan</t>
        </is>
      </c>
      <c r="R197" t="n">
        <v>0</v>
      </c>
      <c r="V197" t="inlineStr">
        <is>
          <t>Pastikan sesuai kondisi lapangan</t>
        </is>
      </c>
      <c r="W197" t="n">
        <v>0</v>
      </c>
      <c r="AB197" t="inlineStr">
        <is>
          <t>7205101005000200</t>
        </is>
      </c>
      <c r="AC197" t="inlineStr">
        <is>
          <t>APPROVED BY Pengawas</t>
        </is>
      </c>
    </row>
    <row r="198">
      <c r="A198" t="inlineStr">
        <is>
          <t>6c14e204-a30e-4871-8c3b-a2eea4d65dde</t>
        </is>
      </c>
      <c r="B198" t="n">
        <v>72</v>
      </c>
      <c r="C198" t="n">
        <v>5</v>
      </c>
      <c r="D198" t="n">
        <v>120</v>
      </c>
      <c r="E198" t="n">
        <v>7</v>
      </c>
      <c r="F198" t="n">
        <v>1</v>
      </c>
      <c r="G198" t="n">
        <v>0</v>
      </c>
      <c r="H198" t="n">
        <v>30940720</v>
      </c>
      <c r="I198" t="n">
        <v>10423</v>
      </c>
      <c r="J198" t="inlineStr">
        <is>
          <t>Industri Minyak Goreng Kelapa</t>
        </is>
      </c>
      <c r="M198" t="inlineStr">
        <is>
          <t xml:space="preserve">NIKMAT </t>
        </is>
      </c>
      <c r="N198" t="inlineStr">
        <is>
          <t>JL.KEMAKMURAN DUSUN I</t>
        </is>
      </c>
      <c r="Q198" t="inlineStr">
        <is>
          <t>0. Tidak Ditemukan</t>
        </is>
      </c>
      <c r="R198" t="n">
        <v>0</v>
      </c>
      <c r="V198" t="inlineStr">
        <is>
          <t>Pastikan sesuai kondisi lapangan</t>
        </is>
      </c>
      <c r="W198" t="n">
        <v>0</v>
      </c>
      <c r="AB198" t="inlineStr">
        <is>
          <t>7205120007000100</t>
        </is>
      </c>
      <c r="AC198" t="inlineStr">
        <is>
          <t>APPROVED BY Pengawas</t>
        </is>
      </c>
    </row>
    <row r="199">
      <c r="A199" t="inlineStr">
        <is>
          <t>67eaa60c-c6c1-41b4-bb9b-6f47475d3fe2</t>
        </is>
      </c>
      <c r="B199" t="n">
        <v>72</v>
      </c>
      <c r="C199" t="n">
        <v>5</v>
      </c>
      <c r="D199" t="n">
        <v>140</v>
      </c>
      <c r="E199" t="n">
        <v>4</v>
      </c>
      <c r="F199" t="n">
        <v>4</v>
      </c>
      <c r="G199" t="n">
        <v>0</v>
      </c>
      <c r="H199" t="n">
        <v>31245914</v>
      </c>
      <c r="I199" t="n">
        <v>11059</v>
      </c>
      <c r="J199" t="inlineStr">
        <is>
          <t>Industri Minuman Lainnya</t>
        </is>
      </c>
      <c r="M199" t="inlineStr">
        <is>
          <t>MAMA'S MAHDI</t>
        </is>
      </c>
      <c r="N199" t="inlineStr">
        <is>
          <t>SABANG</t>
        </is>
      </c>
      <c r="Q199" t="inlineStr">
        <is>
          <t>0. Tidak Ditemukan</t>
        </is>
      </c>
      <c r="R199" t="n">
        <v>0</v>
      </c>
      <c r="V199" t="inlineStr">
        <is>
          <t>Pastikan sesuai kondisi lapangan</t>
        </is>
      </c>
      <c r="W199" t="n">
        <v>0</v>
      </c>
      <c r="AB199" t="inlineStr">
        <is>
          <t>7205140004000400</t>
        </is>
      </c>
      <c r="AC199" t="inlineStr">
        <is>
          <t>APPROVED BY Pengawas</t>
        </is>
      </c>
    </row>
    <row r="200">
      <c r="A200" t="inlineStr">
        <is>
          <t>9d33bd85-6f6e-4d4c-a428-f447702e55a3</t>
        </is>
      </c>
      <c r="B200" t="n">
        <v>72</v>
      </c>
      <c r="C200" t="n">
        <v>7</v>
      </c>
      <c r="D200" t="n">
        <v>10</v>
      </c>
      <c r="E200" t="n">
        <v>18</v>
      </c>
      <c r="F200" t="n">
        <v>3</v>
      </c>
      <c r="G200" t="n">
        <v>0</v>
      </c>
      <c r="H200" t="n">
        <v>31257949</v>
      </c>
      <c r="I200" t="n">
        <v>1493</v>
      </c>
      <c r="J200" t="inlineStr">
        <is>
          <t>Budi Daya dan Pembibitan Lebah</t>
        </is>
      </c>
      <c r="M200" t="inlineStr">
        <is>
          <t>ISRAN S. SAMA</t>
        </is>
      </c>
      <c r="N200" t="inlineStr">
        <is>
          <t>DESA ILAMBE</t>
        </is>
      </c>
      <c r="Q200" t="inlineStr">
        <is>
          <t>0. Tidak Ditemukan</t>
        </is>
      </c>
      <c r="R200" t="n">
        <v>0</v>
      </c>
      <c r="V200" t="inlineStr">
        <is>
          <t>Pastikan sesuai kondisi lapangan</t>
        </is>
      </c>
      <c r="W200" t="n">
        <v>0</v>
      </c>
      <c r="X200" t="inlineStr">
        <is>
          <t>Ini belum dicacah</t>
        </is>
      </c>
      <c r="AB200" t="inlineStr">
        <is>
          <t>7207010018000300</t>
        </is>
      </c>
      <c r="AC200" t="inlineStr">
        <is>
          <t>APPROVED BY Pengawas</t>
        </is>
      </c>
    </row>
    <row r="201">
      <c r="A201" t="inlineStr">
        <is>
          <t>9852898b-4545-49e2-be0f-68d6b8ab552d</t>
        </is>
      </c>
      <c r="B201" t="n">
        <v>72</v>
      </c>
      <c r="C201" t="n">
        <v>7</v>
      </c>
      <c r="D201" t="n">
        <v>21</v>
      </c>
      <c r="E201" t="n">
        <v>6</v>
      </c>
      <c r="F201" t="n">
        <v>2</v>
      </c>
      <c r="G201" t="n">
        <v>0</v>
      </c>
      <c r="H201" t="n">
        <v>27501753</v>
      </c>
      <c r="I201" t="n">
        <v>10794</v>
      </c>
      <c r="J201" t="inlineStr">
        <is>
          <t>Industri Kerupuk, Keripik, Peyek, dan Sejenisnya</t>
        </is>
      </c>
      <c r="M201" t="inlineStr">
        <is>
          <t>RABIA S. HIDU</t>
        </is>
      </c>
      <c r="N201" t="inlineStr">
        <is>
          <t>DESA LOMULI</t>
        </is>
      </c>
      <c r="Q201" t="inlineStr">
        <is>
          <t>0. Tidak Ditemukan</t>
        </is>
      </c>
      <c r="R201" t="n">
        <v>0</v>
      </c>
      <c r="V201" t="inlineStr">
        <is>
          <t>Pastikan sesuai kondisi lapangan</t>
        </is>
      </c>
      <c r="W201" t="n">
        <v>0</v>
      </c>
      <c r="X201" t="inlineStr">
        <is>
          <t>alamat sebenarnya ada di RT 2 DUSUN TANAH MERAH, sehingga tidak ditemukan pada RT 1</t>
        </is>
      </c>
      <c r="AB201" t="inlineStr">
        <is>
          <t>7207021006000200</t>
        </is>
      </c>
      <c r="AC201" t="inlineStr">
        <is>
          <t>APPROVED BY Pengawas</t>
        </is>
      </c>
    </row>
    <row r="202">
      <c r="A202" t="inlineStr">
        <is>
          <t>b84d456e-babb-4bc0-9b78-0428de2d6402</t>
        </is>
      </c>
      <c r="B202" t="n">
        <v>72</v>
      </c>
      <c r="C202" t="n">
        <v>7</v>
      </c>
      <c r="D202" t="n">
        <v>40</v>
      </c>
      <c r="E202" t="n">
        <v>13</v>
      </c>
      <c r="F202" t="n">
        <v>1</v>
      </c>
      <c r="G202" t="n">
        <v>0</v>
      </c>
      <c r="H202" t="n">
        <v>29544944</v>
      </c>
      <c r="I202" t="n">
        <v>10303</v>
      </c>
      <c r="J202" t="inlineStr">
        <is>
          <t>Pengeringan Buah-buahan dan Sayuran</t>
        </is>
      </c>
      <c r="M202" t="inlineStr">
        <is>
          <t>ERICK HARIANTO</t>
        </is>
      </c>
      <c r="N202" t="inlineStr">
        <is>
          <t>DESA BOTUGOLU</t>
        </is>
      </c>
      <c r="Q202" t="inlineStr">
        <is>
          <t>0. Tidak Ditemukan</t>
        </is>
      </c>
      <c r="R202" t="n">
        <v>0</v>
      </c>
      <c r="V202" t="inlineStr">
        <is>
          <t>Pastikan sesuai kondisi lapangan</t>
        </is>
      </c>
      <c r="W202" t="n">
        <v>0</v>
      </c>
      <c r="X202" t="inlineStr">
        <is>
          <t>tidak ditemukan pada wilayah SLS tersebut, untuk prelist keluarga juga tidak terdapat pada fasih sm maupun penelusuran lapangab</t>
        </is>
      </c>
      <c r="AB202" t="inlineStr">
        <is>
          <t>7207040013000100</t>
        </is>
      </c>
      <c r="AC202" t="inlineStr">
        <is>
          <t>APPROVED BY Pengawas</t>
        </is>
      </c>
    </row>
    <row r="203">
      <c r="A203" t="inlineStr">
        <is>
          <t>3a7a6d64-8ea3-4731-ae9e-29bdc9ae4828</t>
        </is>
      </c>
      <c r="B203" t="n">
        <v>72</v>
      </c>
      <c r="C203" t="n">
        <v>8</v>
      </c>
      <c r="D203" t="n">
        <v>10</v>
      </c>
      <c r="E203" t="n">
        <v>3</v>
      </c>
      <c r="F203" t="n">
        <v>1</v>
      </c>
      <c r="G203" t="n">
        <v>1</v>
      </c>
      <c r="H203" t="n">
        <v>48703964</v>
      </c>
      <c r="I203" t="n">
        <v>10710</v>
      </c>
      <c r="J203" t="inlineStr">
        <is>
          <t>Industri Produk Bakeri</t>
        </is>
      </c>
      <c r="M203" t="inlineStr">
        <is>
          <t>INTAN SARIF</t>
        </is>
      </c>
      <c r="N203" t="inlineStr">
        <is>
          <t>Dusun 1</t>
        </is>
      </c>
      <c r="Q203" t="inlineStr">
        <is>
          <t>0. Tidak Ditemukan</t>
        </is>
      </c>
      <c r="R203" t="n">
        <v>0</v>
      </c>
      <c r="V203" t="inlineStr">
        <is>
          <t>Pastikan sesuai kondisi lapangan</t>
        </is>
      </c>
      <c r="W203" t="n">
        <v>0</v>
      </c>
      <c r="AB203" t="inlineStr">
        <is>
          <t>7208010003000101</t>
        </is>
      </c>
      <c r="AC203" t="inlineStr">
        <is>
          <t>APPROVED BY Pengawas</t>
        </is>
      </c>
    </row>
    <row r="204">
      <c r="A204" t="inlineStr">
        <is>
          <t>0830ab26-a2dc-4bc6-871f-23c99347a8f9</t>
        </is>
      </c>
      <c r="B204" t="n">
        <v>72</v>
      </c>
      <c r="C204" t="n">
        <v>8</v>
      </c>
      <c r="D204" t="n">
        <v>10</v>
      </c>
      <c r="E204" t="n">
        <v>3</v>
      </c>
      <c r="F204" t="n">
        <v>2</v>
      </c>
      <c r="G204" t="n">
        <v>2</v>
      </c>
      <c r="H204" t="n">
        <v>47714660</v>
      </c>
      <c r="I204" t="n">
        <v>10794</v>
      </c>
      <c r="J204" t="inlineStr">
        <is>
          <t>Industri Kerupuk, Keripik, Peyek, dan Sejenisnya</t>
        </is>
      </c>
      <c r="M204" t="inlineStr">
        <is>
          <t>LILLAH IWANTARA</t>
        </is>
      </c>
      <c r="N204" t="inlineStr">
        <is>
          <t>DUSUN II</t>
        </is>
      </c>
      <c r="Q204" t="inlineStr">
        <is>
          <t>0. Tidak Ditemukan</t>
        </is>
      </c>
      <c r="R204" t="n">
        <v>0</v>
      </c>
      <c r="V204" t="inlineStr">
        <is>
          <t>Pastikan sesuai kondisi lapangan</t>
        </is>
      </c>
      <c r="W204" t="n">
        <v>0</v>
      </c>
      <c r="AB204" t="inlineStr">
        <is>
          <t>7208010003000202</t>
        </is>
      </c>
      <c r="AC204" t="inlineStr">
        <is>
          <t>APPROVED BY Pengawas</t>
        </is>
      </c>
    </row>
    <row r="205">
      <c r="A205" t="inlineStr">
        <is>
          <t>f161ae91-6053-4b97-a185-0542a72a4aaf</t>
        </is>
      </c>
      <c r="B205" t="n">
        <v>72</v>
      </c>
      <c r="C205" t="n">
        <v>8</v>
      </c>
      <c r="D205" t="n">
        <v>10</v>
      </c>
      <c r="E205" t="n">
        <v>4</v>
      </c>
      <c r="F205" t="n">
        <v>17</v>
      </c>
      <c r="G205" t="n">
        <v>0</v>
      </c>
      <c r="H205" t="n">
        <v>45497477</v>
      </c>
      <c r="I205" t="n">
        <v>10794</v>
      </c>
      <c r="J205" t="inlineStr">
        <is>
          <t>Industri Kerupuk, Keripik, Peyek, dan Sejenisnya</t>
        </is>
      </c>
      <c r="M205" t="inlineStr">
        <is>
          <t>ATI FITRIANI</t>
        </is>
      </c>
      <c r="N205" t="inlineStr">
        <is>
          <t>DUSUN VI</t>
        </is>
      </c>
      <c r="Q205" t="inlineStr">
        <is>
          <t>0. Tidak Ditemukan</t>
        </is>
      </c>
      <c r="R205" t="n">
        <v>0</v>
      </c>
      <c r="V205" t="inlineStr">
        <is>
          <t>Pastikan sesuai kondisi lapangan</t>
        </is>
      </c>
      <c r="W205" t="n">
        <v>0</v>
      </c>
      <c r="AB205" t="inlineStr">
        <is>
          <t>7208010004001700</t>
        </is>
      </c>
      <c r="AC205" t="inlineStr">
        <is>
          <t>APPROVED BY Pengawas</t>
        </is>
      </c>
    </row>
    <row r="206">
      <c r="A206" t="inlineStr">
        <is>
          <t>ebd1f035-5f89-475c-9e7c-8d1dc8b2fa18</t>
        </is>
      </c>
      <c r="B206" t="n">
        <v>72</v>
      </c>
      <c r="C206" t="n">
        <v>8</v>
      </c>
      <c r="D206" t="n">
        <v>20</v>
      </c>
      <c r="E206" t="n">
        <v>8</v>
      </c>
      <c r="F206" t="n">
        <v>4</v>
      </c>
      <c r="G206" t="n">
        <v>0</v>
      </c>
      <c r="H206" t="n">
        <v>49320798</v>
      </c>
      <c r="I206" t="n">
        <v>10794</v>
      </c>
      <c r="J206" t="inlineStr">
        <is>
          <t>Industri Kerupuk, Keripik, Peyek, dan Sejenisnya</t>
        </is>
      </c>
      <c r="M206" t="inlineStr">
        <is>
          <t>ZULFIAN. MS</t>
        </is>
      </c>
      <c r="N206" t="inlineStr">
        <is>
          <t>DUSUN I RT.009/ RW. 005</t>
        </is>
      </c>
      <c r="Q206" t="inlineStr">
        <is>
          <t>0. Tidak Ditemukan</t>
        </is>
      </c>
      <c r="R206" t="n">
        <v>0</v>
      </c>
      <c r="V206" t="inlineStr">
        <is>
          <t>Pastikan sesuai kondisi lapangan</t>
        </is>
      </c>
      <c r="W206" t="n">
        <v>0</v>
      </c>
      <c r="AB206" t="inlineStr">
        <is>
          <t>7208020008000400</t>
        </is>
      </c>
      <c r="AC206" t="inlineStr">
        <is>
          <t>APPROVED BY Pengawas</t>
        </is>
      </c>
    </row>
    <row r="207">
      <c r="A207" t="inlineStr">
        <is>
          <t>2bd0d53c-a88c-40f9-aba9-a0d42d5617ae</t>
        </is>
      </c>
      <c r="B207" t="n">
        <v>72</v>
      </c>
      <c r="C207" t="n">
        <v>8</v>
      </c>
      <c r="D207" t="n">
        <v>20</v>
      </c>
      <c r="E207" t="n">
        <v>13</v>
      </c>
      <c r="F207" t="n">
        <v>1</v>
      </c>
      <c r="G207" t="n">
        <v>0</v>
      </c>
      <c r="H207" t="n">
        <v>46560154</v>
      </c>
      <c r="I207" t="n">
        <v>11052</v>
      </c>
      <c r="J207" t="inlineStr">
        <is>
          <t>Industri Air Minum Isi Ulang</t>
        </is>
      </c>
      <c r="M207" t="inlineStr">
        <is>
          <t>IVONEKE RONTOS</t>
        </is>
      </c>
      <c r="N207" t="inlineStr">
        <is>
          <t>JL NYIUR INDAH</t>
        </is>
      </c>
      <c r="Q207" t="inlineStr">
        <is>
          <t>0. Tidak Ditemukan</t>
        </is>
      </c>
      <c r="R207" t="n">
        <v>0</v>
      </c>
      <c r="V207" t="inlineStr">
        <is>
          <t>Pastikan sesuai kondisi lapangan</t>
        </is>
      </c>
      <c r="W207" t="n">
        <v>0</v>
      </c>
      <c r="AB207" t="inlineStr">
        <is>
          <t>7208020013000100</t>
        </is>
      </c>
      <c r="AC207" t="inlineStr">
        <is>
          <t>APPROVED BY Pengawas</t>
        </is>
      </c>
    </row>
    <row r="208">
      <c r="A208" t="inlineStr">
        <is>
          <t>a74076c2-1ecf-4df1-bf49-d0044e553f7b</t>
        </is>
      </c>
      <c r="B208" t="n">
        <v>72</v>
      </c>
      <c r="C208" t="n">
        <v>8</v>
      </c>
      <c r="D208" t="n">
        <v>20</v>
      </c>
      <c r="E208" t="n">
        <v>13</v>
      </c>
      <c r="F208" t="n">
        <v>6</v>
      </c>
      <c r="G208" t="n">
        <v>0</v>
      </c>
      <c r="H208" t="n">
        <v>46124448</v>
      </c>
      <c r="I208" t="n">
        <v>10614</v>
      </c>
      <c r="J208" t="inlineStr">
        <is>
          <t>Industri Tepung Campuran dan Adonan Tepung</t>
        </is>
      </c>
      <c r="M208" t="inlineStr">
        <is>
          <t>SIDRAWATI.L</t>
        </is>
      </c>
      <c r="N208" t="inlineStr">
        <is>
          <t>JL WOLTER MONGINSIDI</t>
        </is>
      </c>
      <c r="Q208" t="inlineStr">
        <is>
          <t>0. Tidak Ditemukan</t>
        </is>
      </c>
      <c r="R208" t="n">
        <v>0</v>
      </c>
      <c r="V208" t="inlineStr">
        <is>
          <t>Pastikan sesuai kondisi lapangan</t>
        </is>
      </c>
      <c r="W208" t="n">
        <v>0</v>
      </c>
      <c r="AB208" t="inlineStr">
        <is>
          <t>7208020013000600</t>
        </is>
      </c>
      <c r="AC208" t="inlineStr">
        <is>
          <t>SUBMITTED BY Pencacah</t>
        </is>
      </c>
    </row>
    <row r="209">
      <c r="A209" t="inlineStr">
        <is>
          <t>f4e96cd5-7e60-44c5-ae43-8d1731de22fb</t>
        </is>
      </c>
      <c r="B209" t="n">
        <v>72</v>
      </c>
      <c r="C209" t="n">
        <v>8</v>
      </c>
      <c r="D209" t="n">
        <v>22</v>
      </c>
      <c r="E209" t="n">
        <v>5</v>
      </c>
      <c r="F209" t="n">
        <v>4</v>
      </c>
      <c r="G209" t="n">
        <v>0</v>
      </c>
      <c r="H209" t="n">
        <v>45092362</v>
      </c>
      <c r="I209" t="n">
        <v>1493</v>
      </c>
      <c r="J209" t="inlineStr">
        <is>
          <t>Budi Daya dan Pembibitan Lebah</t>
        </is>
      </c>
      <c r="M209" t="inlineStr">
        <is>
          <t>MOH.RICKY</t>
        </is>
      </c>
      <c r="N209" t="inlineStr">
        <is>
          <t>DUSUN II</t>
        </is>
      </c>
      <c r="Q209" t="inlineStr">
        <is>
          <t>0. Tidak Ditemukan</t>
        </is>
      </c>
      <c r="R209" t="n">
        <v>0</v>
      </c>
      <c r="V209" t="inlineStr">
        <is>
          <t>Pastikan sesuai kondisi lapangan</t>
        </is>
      </c>
      <c r="W209" t="n">
        <v>0</v>
      </c>
      <c r="AB209" t="inlineStr">
        <is>
          <t>7208022005000400</t>
        </is>
      </c>
      <c r="AC209" t="inlineStr">
        <is>
          <t>APPROVED BY Pengawas</t>
        </is>
      </c>
    </row>
    <row r="210">
      <c r="A210" t="inlineStr">
        <is>
          <t>45f63ca7-ac92-422a-8665-d619742e2257</t>
        </is>
      </c>
      <c r="B210" t="n">
        <v>72</v>
      </c>
      <c r="C210" t="n">
        <v>8</v>
      </c>
      <c r="D210" t="n">
        <v>31</v>
      </c>
      <c r="E210" t="n">
        <v>1</v>
      </c>
      <c r="F210" t="n">
        <v>3</v>
      </c>
      <c r="G210" t="n">
        <v>0</v>
      </c>
      <c r="H210" t="n">
        <v>48745457</v>
      </c>
      <c r="I210" t="n">
        <v>10710</v>
      </c>
      <c r="J210" t="inlineStr">
        <is>
          <t>Industri Produk Bakeri</t>
        </is>
      </c>
      <c r="M210" t="inlineStr">
        <is>
          <t>YULIATI DJAMADE</t>
        </is>
      </c>
      <c r="N210" t="inlineStr">
        <is>
          <t>DUSUN III DONGGULU</t>
        </is>
      </c>
      <c r="Q210" t="inlineStr">
        <is>
          <t>0. Tidak Ditemukan</t>
        </is>
      </c>
      <c r="R210" t="n">
        <v>0</v>
      </c>
      <c r="V210" t="inlineStr">
        <is>
          <t>Pastikan sesuai kondisi lapangan</t>
        </is>
      </c>
      <c r="W210" t="n">
        <v>0</v>
      </c>
      <c r="AB210" t="inlineStr">
        <is>
          <t>7208031001000300</t>
        </is>
      </c>
      <c r="AC210" t="inlineStr">
        <is>
          <t>APPROVED BY Pengawas</t>
        </is>
      </c>
    </row>
    <row r="211">
      <c r="A211" t="inlineStr">
        <is>
          <t>e07a165e-573f-4387-9531-6a4689dc346c</t>
        </is>
      </c>
      <c r="B211" t="n">
        <v>72</v>
      </c>
      <c r="C211" t="n">
        <v>8</v>
      </c>
      <c r="D211" t="n">
        <v>31</v>
      </c>
      <c r="E211" t="n">
        <v>1</v>
      </c>
      <c r="F211" t="n">
        <v>3</v>
      </c>
      <c r="G211" t="n">
        <v>0</v>
      </c>
      <c r="H211" t="n">
        <v>46841716</v>
      </c>
      <c r="I211" t="n">
        <v>10794</v>
      </c>
      <c r="J211" t="inlineStr">
        <is>
          <t>Industri Kerupuk, Keripik, Peyek, dan Sejenisnya</t>
        </is>
      </c>
      <c r="M211" t="inlineStr">
        <is>
          <t>DEWI KUMALA SARI</t>
        </is>
      </c>
      <c r="N211" t="inlineStr">
        <is>
          <t>DESA DONGGULU</t>
        </is>
      </c>
      <c r="Q211" t="inlineStr">
        <is>
          <t>0. Tidak Ditemukan</t>
        </is>
      </c>
      <c r="R211" t="n">
        <v>0</v>
      </c>
      <c r="V211" t="inlineStr">
        <is>
          <t>Pastikan sesuai kondisi lapangan</t>
        </is>
      </c>
      <c r="W211" t="n">
        <v>0</v>
      </c>
      <c r="AB211" t="inlineStr">
        <is>
          <t>7208031001000300</t>
        </is>
      </c>
      <c r="AC211" t="inlineStr">
        <is>
          <t>APPROVED BY Pengawas</t>
        </is>
      </c>
    </row>
    <row r="212">
      <c r="A212" t="inlineStr">
        <is>
          <t>f5381329-225d-454b-93ae-e3f2c7f13dd8</t>
        </is>
      </c>
      <c r="B212" t="n">
        <v>72</v>
      </c>
      <c r="C212" t="n">
        <v>8</v>
      </c>
      <c r="D212" t="n">
        <v>40</v>
      </c>
      <c r="E212" t="n">
        <v>12</v>
      </c>
      <c r="F212" t="n">
        <v>3</v>
      </c>
      <c r="G212" t="n">
        <v>0</v>
      </c>
      <c r="H212" t="n">
        <v>46053109</v>
      </c>
      <c r="I212" t="n">
        <v>10779</v>
      </c>
      <c r="J212" t="inlineStr">
        <is>
          <t>Industri Bumbu Masakan Lainnya</t>
        </is>
      </c>
      <c r="M212" t="inlineStr">
        <is>
          <t>SITI RUGAYAH</t>
        </is>
      </c>
      <c r="N212" t="inlineStr">
        <is>
          <t>DUSUN III</t>
        </is>
      </c>
      <c r="Q212" t="inlineStr">
        <is>
          <t>0. Tidak Ditemukan</t>
        </is>
      </c>
      <c r="R212" t="n">
        <v>0</v>
      </c>
      <c r="V212" t="inlineStr">
        <is>
          <t>Pastikan sesuai kondisi lapangan</t>
        </is>
      </c>
      <c r="W212" t="n">
        <v>0</v>
      </c>
      <c r="AB212" t="inlineStr">
        <is>
          <t>7208040012000300</t>
        </is>
      </c>
      <c r="AC212" t="inlineStr">
        <is>
          <t>APPROVED BY Pengawas</t>
        </is>
      </c>
    </row>
    <row r="213">
      <c r="A213" t="inlineStr">
        <is>
          <t>b9ccf8ee-05cb-49ef-9514-ae8f496e1660</t>
        </is>
      </c>
      <c r="B213" t="n">
        <v>72</v>
      </c>
      <c r="C213" t="n">
        <v>9</v>
      </c>
      <c r="D213" t="n">
        <v>10</v>
      </c>
      <c r="E213" t="n">
        <v>3</v>
      </c>
      <c r="F213" t="n">
        <v>1</v>
      </c>
      <c r="G213" t="n">
        <v>0</v>
      </c>
      <c r="H213" t="n">
        <v>29002385</v>
      </c>
      <c r="I213" t="n">
        <v>10302</v>
      </c>
      <c r="J213" t="inlineStr">
        <is>
          <t>Pelumatan Buah-buahan dan Sayuran</t>
        </is>
      </c>
      <c r="M213" t="inlineStr">
        <is>
          <t>SITI HAJAR SAENUNI</t>
        </is>
      </c>
      <c r="N213" t="inlineStr">
        <is>
          <t>DESA BAMBALO</t>
        </is>
      </c>
      <c r="Q213" t="inlineStr">
        <is>
          <t>0. Tidak Ditemukan</t>
        </is>
      </c>
      <c r="R213" t="n">
        <v>0</v>
      </c>
      <c r="V213" t="inlineStr">
        <is>
          <t>Pastikan sesuai kondisi lapangan</t>
        </is>
      </c>
      <c r="W213" t="n">
        <v>0</v>
      </c>
      <c r="AB213" t="inlineStr">
        <is>
          <t>7209010003000100</t>
        </is>
      </c>
      <c r="AC213" t="inlineStr">
        <is>
          <t>SUBMITTED BY Pencacah</t>
        </is>
      </c>
    </row>
    <row r="214">
      <c r="A214" t="inlineStr">
        <is>
          <t>d22f07b9-8df5-47b7-86e0-a5e1df49444e</t>
        </is>
      </c>
      <c r="B214" t="n">
        <v>72</v>
      </c>
      <c r="C214" t="n">
        <v>9</v>
      </c>
      <c r="D214" t="n">
        <v>10</v>
      </c>
      <c r="E214" t="n">
        <v>8</v>
      </c>
      <c r="F214" t="n">
        <v>2</v>
      </c>
      <c r="G214" t="n">
        <v>0</v>
      </c>
      <c r="H214" t="n">
        <v>26794713</v>
      </c>
      <c r="I214" t="n">
        <v>10219</v>
      </c>
      <c r="J214" t="inlineStr">
        <is>
          <t>Pengolahan dan Pengawetan Ikan dengan Metode Lainnya</t>
        </is>
      </c>
      <c r="M214" t="inlineStr">
        <is>
          <t>YULIANTI S. ABDULAH</t>
        </is>
      </c>
      <c r="N214" t="inlineStr">
        <is>
          <t>DESA TOMBIANO</t>
        </is>
      </c>
      <c r="Q214" t="inlineStr">
        <is>
          <t>0. Tidak Ditemukan</t>
        </is>
      </c>
      <c r="R214" t="n">
        <v>0</v>
      </c>
      <c r="V214" t="inlineStr">
        <is>
          <t>Pastikan sesuai kondisi lapangan</t>
        </is>
      </c>
      <c r="W214" t="n">
        <v>0</v>
      </c>
      <c r="AB214" t="inlineStr">
        <is>
          <t>7209010008000200</t>
        </is>
      </c>
      <c r="AC214" t="inlineStr">
        <is>
          <t>APPROVED BY Pengawas</t>
        </is>
      </c>
    </row>
    <row r="215">
      <c r="A215" t="inlineStr">
        <is>
          <t>54524325-bc65-4903-9143-edae9fc8e496</t>
        </is>
      </c>
      <c r="B215" t="n">
        <v>72</v>
      </c>
      <c r="C215" t="n">
        <v>9</v>
      </c>
      <c r="D215" t="n">
        <v>10</v>
      </c>
      <c r="E215" t="n">
        <v>9</v>
      </c>
      <c r="F215" t="n">
        <v>1</v>
      </c>
      <c r="G215" t="n">
        <v>0</v>
      </c>
      <c r="H215" t="n">
        <v>28822898</v>
      </c>
      <c r="M215" t="inlineStr">
        <is>
          <t>JAMILA</t>
        </is>
      </c>
      <c r="N215" t="inlineStr">
        <is>
          <t>DESA TATARI</t>
        </is>
      </c>
      <c r="Q215" t="inlineStr">
        <is>
          <t>0. Tidak Ditemukan</t>
        </is>
      </c>
      <c r="R215" t="n">
        <v>0</v>
      </c>
      <c r="V215" t="inlineStr">
        <is>
          <t>Pastikan sesuai kondisi lapangan</t>
        </is>
      </c>
      <c r="W215" t="n">
        <v>0</v>
      </c>
      <c r="AB215" t="inlineStr">
        <is>
          <t>7209010009000100</t>
        </is>
      </c>
      <c r="AC215" t="inlineStr">
        <is>
          <t>APPROVED BY Pengawas</t>
        </is>
      </c>
    </row>
    <row r="216">
      <c r="A216" t="inlineStr">
        <is>
          <t>644dfc65-c885-4f85-9450-14a803d0fb3e</t>
        </is>
      </c>
      <c r="B216" t="n">
        <v>72</v>
      </c>
      <c r="C216" t="n">
        <v>9</v>
      </c>
      <c r="D216" t="n">
        <v>30</v>
      </c>
      <c r="E216" t="n">
        <v>17</v>
      </c>
      <c r="F216" t="n">
        <v>5</v>
      </c>
      <c r="G216" t="n">
        <v>3</v>
      </c>
      <c r="H216" t="n">
        <v>28680739</v>
      </c>
      <c r="I216" t="n">
        <v>10794</v>
      </c>
      <c r="J216" t="inlineStr">
        <is>
          <t>Industri Kerupuk, Keripik, Peyek, dan Sejenisnya</t>
        </is>
      </c>
      <c r="M216" t="inlineStr">
        <is>
          <t>ROSLIN BARAMANG</t>
        </is>
      </c>
      <c r="N216" t="inlineStr">
        <is>
          <t>DESA BONEVOTO</t>
        </is>
      </c>
      <c r="Q216" t="inlineStr">
        <is>
          <t>0. Tidak Ditemukan</t>
        </is>
      </c>
      <c r="R216" t="n">
        <v>0</v>
      </c>
      <c r="V216" t="inlineStr">
        <is>
          <t>Pastikan sesuai kondisi lapangan</t>
        </is>
      </c>
      <c r="W216" t="n">
        <v>0</v>
      </c>
      <c r="AB216" t="inlineStr">
        <is>
          <t>7209030017000503</t>
        </is>
      </c>
      <c r="AC216" t="inlineStr">
        <is>
          <t>APPROVED BY Pengawas</t>
        </is>
      </c>
    </row>
    <row r="217">
      <c r="A217" t="inlineStr">
        <is>
          <t>27be467f-ada1-4efd-91f1-0af646b0340a</t>
        </is>
      </c>
      <c r="B217" t="n">
        <v>72</v>
      </c>
      <c r="C217" t="n">
        <v>9</v>
      </c>
      <c r="D217" t="n">
        <v>40</v>
      </c>
      <c r="E217" t="n">
        <v>1</v>
      </c>
      <c r="F217" t="n">
        <v>12</v>
      </c>
      <c r="G217" t="n">
        <v>0</v>
      </c>
      <c r="H217" t="n">
        <v>28385776</v>
      </c>
      <c r="I217" t="n">
        <v>10710</v>
      </c>
      <c r="J217" t="inlineStr">
        <is>
          <t>Industri Produk Bakeri</t>
        </is>
      </c>
      <c r="M217" t="inlineStr">
        <is>
          <t>RATNI B.BOTU</t>
        </is>
      </c>
      <c r="N217" t="inlineStr">
        <is>
          <t>DESA PUSUNGI</t>
        </is>
      </c>
      <c r="Q217" t="inlineStr">
        <is>
          <t>0. Tidak Ditemukan</t>
        </is>
      </c>
      <c r="R217" t="n">
        <v>0</v>
      </c>
      <c r="V217" t="inlineStr">
        <is>
          <t>Pastikan sesuai kondisi lapangan</t>
        </is>
      </c>
      <c r="W217" t="n">
        <v>0</v>
      </c>
      <c r="AB217" t="inlineStr">
        <is>
          <t>7209040001001200</t>
        </is>
      </c>
      <c r="AC217" t="inlineStr">
        <is>
          <t>APPROVED BY Pengawas</t>
        </is>
      </c>
    </row>
    <row r="218">
      <c r="A218" t="inlineStr">
        <is>
          <t>5ba92851-6c84-4cfd-b448-72dc0ec992a0</t>
        </is>
      </c>
      <c r="B218" t="n">
        <v>72</v>
      </c>
      <c r="C218" t="n">
        <v>9</v>
      </c>
      <c r="D218" t="n">
        <v>40</v>
      </c>
      <c r="E218" t="n">
        <v>1</v>
      </c>
      <c r="F218" t="n">
        <v>12</v>
      </c>
      <c r="G218" t="n">
        <v>0</v>
      </c>
      <c r="H218" t="n">
        <v>28707842</v>
      </c>
      <c r="I218" t="n">
        <v>10710</v>
      </c>
      <c r="J218" t="inlineStr">
        <is>
          <t>Industri Produk Bakeri</t>
        </is>
      </c>
      <c r="M218" t="inlineStr">
        <is>
          <t>SARTIN RAHMAN MANTARA</t>
        </is>
      </c>
      <c r="N218" t="inlineStr">
        <is>
          <t>DESA PUSUNGI</t>
        </is>
      </c>
      <c r="Q218" t="inlineStr">
        <is>
          <t>0. Tidak Ditemukan</t>
        </is>
      </c>
      <c r="R218" t="n">
        <v>0</v>
      </c>
      <c r="V218" t="inlineStr">
        <is>
          <t>Pastikan sesuai kondisi lapangan</t>
        </is>
      </c>
      <c r="W218" t="n">
        <v>0</v>
      </c>
      <c r="AB218" t="inlineStr">
        <is>
          <t>7209040001001200</t>
        </is>
      </c>
      <c r="AC218" t="inlineStr">
        <is>
          <t>APPROVED BY Pengawas</t>
        </is>
      </c>
    </row>
    <row r="219">
      <c r="A219" t="inlineStr">
        <is>
          <t>e93e0d0e-0a1a-4228-babd-42c95b7a7906</t>
        </is>
      </c>
      <c r="B219" t="n">
        <v>72</v>
      </c>
      <c r="C219" t="n">
        <v>9</v>
      </c>
      <c r="D219" t="n">
        <v>50</v>
      </c>
      <c r="E219" t="n">
        <v>1</v>
      </c>
      <c r="F219" t="n">
        <v>1</v>
      </c>
      <c r="G219" t="n">
        <v>0</v>
      </c>
      <c r="H219" t="n">
        <v>28380393</v>
      </c>
      <c r="I219" t="n">
        <v>10793</v>
      </c>
      <c r="J219" t="inlineStr">
        <is>
          <t>Industri Produk Makanan dari Kelapa</t>
        </is>
      </c>
      <c r="M219" t="inlineStr">
        <is>
          <t>RATNI S.NGOLE</t>
        </is>
      </c>
      <c r="N219" t="inlineStr">
        <is>
          <t>DESA SANSARINO</t>
        </is>
      </c>
      <c r="Q219" t="inlineStr">
        <is>
          <t>0. Tidak Ditemukan</t>
        </is>
      </c>
      <c r="R219" t="n">
        <v>0</v>
      </c>
      <c r="V219" t="inlineStr">
        <is>
          <t>Pastikan sesuai kondisi lapangan</t>
        </is>
      </c>
      <c r="W219" t="n">
        <v>0</v>
      </c>
      <c r="AB219" t="inlineStr">
        <is>
          <t>7209050001000100</t>
        </is>
      </c>
      <c r="AC219" t="inlineStr">
        <is>
          <t>APPROVED BY Pengawas</t>
        </is>
      </c>
    </row>
    <row r="220">
      <c r="A220" t="inlineStr">
        <is>
          <t>8ef0f289-c9d0-4565-91dd-855fa3758521</t>
        </is>
      </c>
      <c r="B220" t="n">
        <v>72</v>
      </c>
      <c r="C220" t="n">
        <v>9</v>
      </c>
      <c r="D220" t="n">
        <v>50</v>
      </c>
      <c r="E220" t="n">
        <v>13</v>
      </c>
      <c r="F220" t="n">
        <v>1</v>
      </c>
      <c r="G220" t="n">
        <v>0</v>
      </c>
      <c r="H220" t="n">
        <v>26625553</v>
      </c>
      <c r="I220" t="n">
        <v>10750</v>
      </c>
      <c r="J220" t="inlineStr">
        <is>
          <t>Industri Makanan dan Masakan Olahan</t>
        </is>
      </c>
      <c r="M220" t="inlineStr">
        <is>
          <t>FIRAWATI AMBODAU</t>
        </is>
      </c>
      <c r="N220" t="inlineStr">
        <is>
          <t>JL PODI MASAE</t>
        </is>
      </c>
      <c r="Q220" t="inlineStr">
        <is>
          <t>0. Tidak Ditemukan</t>
        </is>
      </c>
      <c r="R220" t="n">
        <v>0</v>
      </c>
      <c r="V220" t="inlineStr">
        <is>
          <t>Pastikan sesuai kondisi lapangan</t>
        </is>
      </c>
      <c r="W220" t="n">
        <v>0</v>
      </c>
      <c r="AB220" t="inlineStr">
        <is>
          <t>7209050013000100</t>
        </is>
      </c>
      <c r="AC220" t="inlineStr">
        <is>
          <t>APPROVED BY Pengawas</t>
        </is>
      </c>
    </row>
    <row r="221">
      <c r="A221" t="inlineStr">
        <is>
          <t>8801f6a4-5840-4490-b322-5356490e6a44</t>
        </is>
      </c>
      <c r="B221" t="n">
        <v>72</v>
      </c>
      <c r="C221" t="n">
        <v>9</v>
      </c>
      <c r="D221" t="n">
        <v>51</v>
      </c>
      <c r="E221" t="n">
        <v>5</v>
      </c>
      <c r="F221" t="n">
        <v>1</v>
      </c>
      <c r="G221" t="n">
        <v>0</v>
      </c>
      <c r="H221" t="n">
        <v>30646824</v>
      </c>
      <c r="I221" t="n">
        <v>10710</v>
      </c>
      <c r="J221" t="inlineStr">
        <is>
          <t>Industri Produk Bakeri</t>
        </is>
      </c>
      <c r="M221" t="inlineStr">
        <is>
          <t>TITI SULLE</t>
        </is>
      </c>
      <c r="N221" t="inlineStr">
        <is>
          <t>Jl Sensus, Kel.Uentanaga Atas,Kec.Ratolindo</t>
        </is>
      </c>
      <c r="Q221" t="inlineStr">
        <is>
          <t>0. Tidak Ditemukan</t>
        </is>
      </c>
      <c r="R221" t="n">
        <v>0</v>
      </c>
      <c r="V221" t="inlineStr">
        <is>
          <t>Pastikan sesuai kondisi lapangan</t>
        </is>
      </c>
      <c r="W221" t="n">
        <v>0</v>
      </c>
      <c r="AB221" t="inlineStr">
        <is>
          <t>7209051005000100</t>
        </is>
      </c>
      <c r="AC221" t="inlineStr">
        <is>
          <t>APPROVED BY Pengawas</t>
        </is>
      </c>
    </row>
    <row r="222">
      <c r="A222" t="inlineStr">
        <is>
          <t>37b054b0-575e-4a27-a49d-03c1e412efbe</t>
        </is>
      </c>
      <c r="B222" t="n">
        <v>72</v>
      </c>
      <c r="C222" t="n">
        <v>9</v>
      </c>
      <c r="D222" t="n">
        <v>51</v>
      </c>
      <c r="E222" t="n">
        <v>8</v>
      </c>
      <c r="F222" t="n">
        <v>8</v>
      </c>
      <c r="G222" t="n">
        <v>0</v>
      </c>
      <c r="H222" t="n">
        <v>27855057</v>
      </c>
      <c r="I222" t="n">
        <v>47249</v>
      </c>
      <c r="J222" t="inlineStr">
        <is>
          <t>Perdagangan Eceran Makanan Lainnya</t>
        </is>
      </c>
      <c r="M222" t="inlineStr">
        <is>
          <t>NURHAYATI DG SIRI</t>
        </is>
      </c>
      <c r="N222" t="inlineStr">
        <is>
          <t>JL WOLTER MONGINSIDI NO 35</t>
        </is>
      </c>
      <c r="Q222" t="inlineStr">
        <is>
          <t>0. Tidak Ditemukan</t>
        </is>
      </c>
      <c r="R222" t="n">
        <v>0</v>
      </c>
      <c r="V222" t="inlineStr">
        <is>
          <t>Pastikan sesuai kondisi lapangan</t>
        </is>
      </c>
      <c r="W222" t="n">
        <v>0</v>
      </c>
      <c r="AB222" t="inlineStr">
        <is>
          <t>7209051008000800</t>
        </is>
      </c>
      <c r="AC222" t="inlineStr">
        <is>
          <t>APPROVED BY Pengawas</t>
        </is>
      </c>
    </row>
    <row r="223">
      <c r="A223" t="inlineStr">
        <is>
          <t>d5f1c248-3bd0-4561-80ca-805e52b6b5a9</t>
        </is>
      </c>
      <c r="B223" t="n">
        <v>72</v>
      </c>
      <c r="C223" t="n">
        <v>9</v>
      </c>
      <c r="D223" t="n">
        <v>51</v>
      </c>
      <c r="E223" t="n">
        <v>9</v>
      </c>
      <c r="F223" t="n">
        <v>7</v>
      </c>
      <c r="G223" t="n">
        <v>0</v>
      </c>
      <c r="H223" t="n">
        <v>28375532</v>
      </c>
      <c r="I223" t="n">
        <v>10794</v>
      </c>
      <c r="J223" t="inlineStr">
        <is>
          <t>Industri Kerupuk, Keripik, Peyek, dan Sejenisnya</t>
        </is>
      </c>
      <c r="M223" t="inlineStr">
        <is>
          <t>RASMA</t>
        </is>
      </c>
      <c r="N223" t="inlineStr">
        <is>
          <t>KOMPLEKS TPI DESA LABUAN</t>
        </is>
      </c>
      <c r="Q223" t="inlineStr">
        <is>
          <t>0. Tidak Ditemukan</t>
        </is>
      </c>
      <c r="R223" t="n">
        <v>0</v>
      </c>
      <c r="V223" t="inlineStr">
        <is>
          <t>Pastikan sesuai kondisi lapangan</t>
        </is>
      </c>
      <c r="W223" t="n">
        <v>0</v>
      </c>
      <c r="AB223" t="inlineStr">
        <is>
          <t>7209051009000700</t>
        </is>
      </c>
      <c r="AC223" t="inlineStr">
        <is>
          <t>APPROVED BY Pengawas</t>
        </is>
      </c>
    </row>
    <row r="224">
      <c r="A224" t="inlineStr">
        <is>
          <t>2100cdc7-132a-4ab8-b3bd-7adfd6e2667f</t>
        </is>
      </c>
      <c r="B224" t="n">
        <v>72</v>
      </c>
      <c r="C224" t="n">
        <v>9</v>
      </c>
      <c r="D224" t="n">
        <v>51</v>
      </c>
      <c r="E224" t="n">
        <v>9</v>
      </c>
      <c r="F224" t="n">
        <v>7</v>
      </c>
      <c r="G224" t="n">
        <v>0</v>
      </c>
      <c r="H224" t="n">
        <v>31382279</v>
      </c>
      <c r="M224" t="inlineStr">
        <is>
          <t>SITTI ASIAH SIMUN</t>
        </is>
      </c>
      <c r="N224" t="inlineStr">
        <is>
          <t>DESA LABUAN</t>
        </is>
      </c>
      <c r="Q224" t="inlineStr">
        <is>
          <t>0. Tidak Ditemukan</t>
        </is>
      </c>
      <c r="R224" t="n">
        <v>0</v>
      </c>
      <c r="V224" t="inlineStr">
        <is>
          <t>Pastikan sesuai kondisi lapangan</t>
        </is>
      </c>
      <c r="W224" t="n">
        <v>0</v>
      </c>
      <c r="AB224" t="inlineStr">
        <is>
          <t>7209051009000700</t>
        </is>
      </c>
      <c r="AC224" t="inlineStr">
        <is>
          <t>APPROVED BY Pengawas</t>
        </is>
      </c>
    </row>
    <row r="225">
      <c r="A225" t="inlineStr">
        <is>
          <t>ff320d92-058c-4c25-acba-bae30f0168a4</t>
        </is>
      </c>
      <c r="B225" t="n">
        <v>72</v>
      </c>
      <c r="C225" t="n">
        <v>9</v>
      </c>
      <c r="D225" t="n">
        <v>51</v>
      </c>
      <c r="E225" t="n">
        <v>19</v>
      </c>
      <c r="F225" t="n">
        <v>6</v>
      </c>
      <c r="G225" t="n">
        <v>1</v>
      </c>
      <c r="H225" t="n">
        <v>28379206</v>
      </c>
      <c r="I225" t="n">
        <v>10794</v>
      </c>
      <c r="J225" t="inlineStr">
        <is>
          <t>Industri Kerupuk, Keripik, Peyek, dan Sejenisnya</t>
        </is>
      </c>
      <c r="M225" t="inlineStr">
        <is>
          <t>ZAINUN MALEWA</t>
        </is>
      </c>
      <c r="N225" t="inlineStr">
        <is>
          <t>JL. PULAU PAPAN NO. 45</t>
        </is>
      </c>
      <c r="Q225" t="inlineStr">
        <is>
          <t>0. Tidak Ditemukan</t>
        </is>
      </c>
      <c r="R225" t="n">
        <v>0</v>
      </c>
      <c r="V225" t="inlineStr">
        <is>
          <t>Pastikan sesuai kondisi lapangan</t>
        </is>
      </c>
      <c r="W225" t="n">
        <v>0</v>
      </c>
      <c r="AB225" t="inlineStr">
        <is>
          <t>7209051019000601</t>
        </is>
      </c>
      <c r="AC225" t="inlineStr">
        <is>
          <t>APPROVED BY Pengawas</t>
        </is>
      </c>
    </row>
    <row r="226">
      <c r="A226" t="inlineStr">
        <is>
          <t>09a6aa4e-4875-4601-8239-85a03b0ac56f</t>
        </is>
      </c>
      <c r="B226" t="n">
        <v>72</v>
      </c>
      <c r="C226" t="n">
        <v>9</v>
      </c>
      <c r="D226" t="n">
        <v>70</v>
      </c>
      <c r="E226" t="n">
        <v>10</v>
      </c>
      <c r="F226" t="n">
        <v>3</v>
      </c>
      <c r="G226" t="n">
        <v>0</v>
      </c>
      <c r="H226" t="n">
        <v>30535108</v>
      </c>
      <c r="I226" t="n">
        <v>10750</v>
      </c>
      <c r="J226" t="inlineStr">
        <is>
          <t>Industri Makanan dan Masakan Olahan</t>
        </is>
      </c>
      <c r="M226" t="inlineStr">
        <is>
          <t>IQBAL YUNUS</t>
        </is>
      </c>
      <c r="N226" t="inlineStr">
        <is>
          <t>DESA KATUPAT</t>
        </is>
      </c>
      <c r="Q226" t="inlineStr">
        <is>
          <t>0. Tidak Ditemukan</t>
        </is>
      </c>
      <c r="R226" t="n">
        <v>0</v>
      </c>
      <c r="V226" t="inlineStr">
        <is>
          <t>Pastikan sesuai kondisi lapangan</t>
        </is>
      </c>
      <c r="W226" t="n">
        <v>0</v>
      </c>
      <c r="AB226" t="inlineStr">
        <is>
          <t>7209070010000300</t>
        </is>
      </c>
      <c r="AC226" t="inlineStr">
        <is>
          <t>APPROVED BY Pengawas</t>
        </is>
      </c>
    </row>
    <row r="227">
      <c r="A227" t="inlineStr">
        <is>
          <t>5a8b821c-2a8c-4bb0-a4b1-86637d39c8dc</t>
        </is>
      </c>
      <c r="B227" t="n">
        <v>72</v>
      </c>
      <c r="C227" t="n">
        <v>10</v>
      </c>
      <c r="D227" t="n">
        <v>20</v>
      </c>
      <c r="E227" t="n">
        <v>10</v>
      </c>
      <c r="F227" t="n">
        <v>3</v>
      </c>
      <c r="G227" t="n">
        <v>0</v>
      </c>
      <c r="H227" t="n">
        <v>27358524</v>
      </c>
      <c r="I227" t="n">
        <v>10761</v>
      </c>
      <c r="J227" t="inlineStr">
        <is>
          <t>Pengolahan Kopi</t>
        </is>
      </c>
      <c r="M227" t="inlineStr">
        <is>
          <t>RON MILER GISO</t>
        </is>
      </c>
      <c r="N227" t="inlineStr">
        <is>
          <t>OO PARESE</t>
        </is>
      </c>
      <c r="Q227" t="inlineStr">
        <is>
          <t>0. Tidak Ditemukan</t>
        </is>
      </c>
      <c r="R227" t="n">
        <v>0</v>
      </c>
      <c r="V227" t="inlineStr">
        <is>
          <t>Pastikan sesuai kondisi lapangan</t>
        </is>
      </c>
      <c r="W227" t="n">
        <v>0</v>
      </c>
      <c r="AB227" t="inlineStr">
        <is>
          <t>7210020010000300</t>
        </is>
      </c>
      <c r="AC227" t="inlineStr">
        <is>
          <t>APPROVED BY Pengawas</t>
        </is>
      </c>
    </row>
    <row r="228">
      <c r="A228" t="inlineStr">
        <is>
          <t>2704d640-df58-4220-baec-fc123bc46d8e</t>
        </is>
      </c>
      <c r="B228" t="n">
        <v>72</v>
      </c>
      <c r="C228" t="n">
        <v>10</v>
      </c>
      <c r="D228" t="n">
        <v>30</v>
      </c>
      <c r="E228" t="n">
        <v>7</v>
      </c>
      <c r="F228" t="n">
        <v>6</v>
      </c>
      <c r="G228" t="n">
        <v>0</v>
      </c>
      <c r="H228" t="n">
        <v>29112145</v>
      </c>
      <c r="I228" t="n">
        <v>10761</v>
      </c>
      <c r="J228" t="inlineStr">
        <is>
          <t>Pengolahan Kopi</t>
        </is>
      </c>
      <c r="M228" t="inlineStr">
        <is>
          <t>HERMANSYAH D. YOBE</t>
        </is>
      </c>
      <c r="N228" t="inlineStr">
        <is>
          <t>DUSUN III KEKA</t>
        </is>
      </c>
      <c r="Q228" t="inlineStr">
        <is>
          <t>0. Tidak Ditemukan</t>
        </is>
      </c>
      <c r="R228" t="n">
        <v>0</v>
      </c>
      <c r="V228" t="inlineStr">
        <is>
          <t>Pastikan sesuai kondisi lapangan</t>
        </is>
      </c>
      <c r="W228" t="n">
        <v>0</v>
      </c>
      <c r="AB228" t="inlineStr">
        <is>
          <t>7210030007000600</t>
        </is>
      </c>
      <c r="AC228" t="inlineStr">
        <is>
          <t>APPROVED BY Pengawas</t>
        </is>
      </c>
    </row>
    <row r="229">
      <c r="A229" t="inlineStr">
        <is>
          <t>564d5ca4-891f-49a1-8c33-412274184a82</t>
        </is>
      </c>
      <c r="B229" t="n">
        <v>72</v>
      </c>
      <c r="C229" t="n">
        <v>10</v>
      </c>
      <c r="D229" t="n">
        <v>30</v>
      </c>
      <c r="E229" t="n">
        <v>9</v>
      </c>
      <c r="F229" t="n">
        <v>7</v>
      </c>
      <c r="G229" t="n">
        <v>0</v>
      </c>
      <c r="H229" t="n">
        <v>26371771</v>
      </c>
      <c r="I229" t="n">
        <v>10729</v>
      </c>
      <c r="J229" t="inlineStr">
        <is>
          <t>Industri Gula Lainnya</t>
        </is>
      </c>
      <c r="M229" t="inlineStr">
        <is>
          <t>DAIMAN BALANGKAI</t>
        </is>
      </c>
      <c r="N229" t="inlineStr">
        <is>
          <t>DESA SALUA</t>
        </is>
      </c>
      <c r="Q229" t="inlineStr">
        <is>
          <t>0. Tidak Ditemukan</t>
        </is>
      </c>
      <c r="R229" t="n">
        <v>0</v>
      </c>
      <c r="V229" t="inlineStr">
        <is>
          <t>Pastikan sesuai kondisi lapangan</t>
        </is>
      </c>
      <c r="W229" t="n">
        <v>0</v>
      </c>
      <c r="X229" t="inlineStr">
        <is>
          <t xml:space="preserve">sesuai kondisi lapangan, usaha sudah tutup </t>
        </is>
      </c>
      <c r="AB229" t="inlineStr">
        <is>
          <t>7210030009000700</t>
        </is>
      </c>
      <c r="AC229" t="inlineStr">
        <is>
          <t>APPROVED BY Pengawas</t>
        </is>
      </c>
    </row>
    <row r="230">
      <c r="A230" t="inlineStr">
        <is>
          <t>81d795fb-0c4e-41c5-b98e-eb3398b04a09</t>
        </is>
      </c>
      <c r="B230" t="n">
        <v>72</v>
      </c>
      <c r="C230" t="n">
        <v>10</v>
      </c>
      <c r="D230" t="n">
        <v>50</v>
      </c>
      <c r="E230" t="n">
        <v>1</v>
      </c>
      <c r="F230" t="n">
        <v>1</v>
      </c>
      <c r="G230" t="n">
        <v>0</v>
      </c>
      <c r="H230" t="n">
        <v>27948987</v>
      </c>
      <c r="I230" t="n">
        <v>10794</v>
      </c>
      <c r="J230" t="inlineStr">
        <is>
          <t>Industri Kerupuk, Keripik, Peyek, dan Sejenisnya</t>
        </is>
      </c>
      <c r="M230" t="inlineStr">
        <is>
          <t>SUPERSON</t>
        </is>
      </c>
      <c r="N230" t="inlineStr">
        <is>
          <t>KAMARORA B</t>
        </is>
      </c>
      <c r="Q230" t="inlineStr">
        <is>
          <t>0. Tidak Ditemukan</t>
        </is>
      </c>
      <c r="R230" t="n">
        <v>0</v>
      </c>
      <c r="V230" t="inlineStr">
        <is>
          <t>Pastikan sesuai kondisi lapangan</t>
        </is>
      </c>
      <c r="W230" t="n">
        <v>0</v>
      </c>
      <c r="AB230" t="inlineStr">
        <is>
          <t>7210050001000100</t>
        </is>
      </c>
      <c r="AC230" t="inlineStr">
        <is>
          <t>APPROVED BY Pengawas</t>
        </is>
      </c>
    </row>
    <row r="231">
      <c r="A231" t="inlineStr">
        <is>
          <t>3e54e845-64ac-4c93-bea6-c61a6589f78b</t>
        </is>
      </c>
      <c r="B231" t="n">
        <v>72</v>
      </c>
      <c r="C231" t="n">
        <v>10</v>
      </c>
      <c r="D231" t="n">
        <v>50</v>
      </c>
      <c r="E231" t="n">
        <v>3</v>
      </c>
      <c r="F231" t="n">
        <v>3</v>
      </c>
      <c r="G231" t="n">
        <v>0</v>
      </c>
      <c r="H231" t="n">
        <v>30922259</v>
      </c>
      <c r="I231" t="n">
        <v>10423</v>
      </c>
      <c r="J231" t="inlineStr">
        <is>
          <t>Industri Minyak Goreng Kelapa</t>
        </is>
      </c>
      <c r="M231" t="inlineStr">
        <is>
          <t>DANIEL BORU</t>
        </is>
      </c>
      <c r="N231" t="inlineStr">
        <is>
          <t>DESA KADIDIA</t>
        </is>
      </c>
      <c r="Q231" t="inlineStr">
        <is>
          <t>0. Tidak Ditemukan</t>
        </is>
      </c>
      <c r="R231" t="n">
        <v>0</v>
      </c>
      <c r="V231" t="inlineStr">
        <is>
          <t>Pastikan sesuai kondisi lapangan</t>
        </is>
      </c>
      <c r="W231" t="n">
        <v>0</v>
      </c>
      <c r="AB231" t="inlineStr">
        <is>
          <t>7210050003000300</t>
        </is>
      </c>
      <c r="AC231" t="inlineStr">
        <is>
          <t>APPROVED BY Pengawas</t>
        </is>
      </c>
    </row>
    <row r="232">
      <c r="A232" t="inlineStr">
        <is>
          <t>88096fa6-78d7-422f-be7a-49568084117a</t>
        </is>
      </c>
      <c r="B232" t="n">
        <v>72</v>
      </c>
      <c r="C232" t="n">
        <v>10</v>
      </c>
      <c r="D232" t="n">
        <v>60</v>
      </c>
      <c r="E232" t="n">
        <v>15</v>
      </c>
      <c r="F232" t="n">
        <v>5</v>
      </c>
      <c r="G232" t="n">
        <v>0</v>
      </c>
      <c r="H232" t="n">
        <v>28170340</v>
      </c>
      <c r="I232" t="n">
        <v>10309</v>
      </c>
      <c r="J232" t="inlineStr">
        <is>
          <t>Pengolahan dan Pengawetan Lainnya untuk Buah-buahan dan Sayuran</t>
        </is>
      </c>
      <c r="M232" t="inlineStr">
        <is>
          <t>OLHA ERNAWATI KANDOU</t>
        </is>
      </c>
      <c r="N232" t="inlineStr">
        <is>
          <t>DUSUN II DESA KAPIROWE</t>
        </is>
      </c>
      <c r="Q232" t="inlineStr">
        <is>
          <t>0. Tidak Ditemukan</t>
        </is>
      </c>
      <c r="R232" t="n">
        <v>0</v>
      </c>
      <c r="V232" t="inlineStr">
        <is>
          <t>Pastikan sesuai kondisi lapangan</t>
        </is>
      </c>
      <c r="W232" t="n">
        <v>0</v>
      </c>
      <c r="AB232" t="inlineStr">
        <is>
          <t>7210060015000500</t>
        </is>
      </c>
      <c r="AC232" t="inlineStr">
        <is>
          <t>APPROVED BY Pengawas</t>
        </is>
      </c>
    </row>
    <row r="233">
      <c r="A233" t="inlineStr">
        <is>
          <t>8f892b0a-fad5-4f03-8609-e9b479dbaeed</t>
        </is>
      </c>
      <c r="B233" t="n">
        <v>72</v>
      </c>
      <c r="C233" t="n">
        <v>10</v>
      </c>
      <c r="D233" t="n">
        <v>60</v>
      </c>
      <c r="E233" t="n">
        <v>16</v>
      </c>
      <c r="F233" t="n">
        <v>6</v>
      </c>
      <c r="G233" t="n">
        <v>0</v>
      </c>
      <c r="H233" t="n">
        <v>30572575</v>
      </c>
      <c r="I233" t="n">
        <v>10771</v>
      </c>
      <c r="J233" t="inlineStr">
        <is>
          <t>Industri Kecap</t>
        </is>
      </c>
      <c r="M233" t="inlineStr">
        <is>
          <t>YENNY AGUSTINA MELATI</t>
        </is>
      </c>
      <c r="N233" t="inlineStr">
        <is>
          <t>DESA BUNGA</t>
        </is>
      </c>
      <c r="Q233" t="inlineStr">
        <is>
          <t>0. Tidak Ditemukan</t>
        </is>
      </c>
      <c r="R233" t="n">
        <v>0</v>
      </c>
      <c r="V233" t="inlineStr">
        <is>
          <t>Pastikan sesuai kondisi lapangan</t>
        </is>
      </c>
      <c r="W233" t="n">
        <v>0</v>
      </c>
      <c r="AB233" t="inlineStr">
        <is>
          <t>7210060016000600</t>
        </is>
      </c>
      <c r="AC233" t="inlineStr">
        <is>
          <t>APPROVED BY Pengawas</t>
        </is>
      </c>
    </row>
    <row r="234">
      <c r="A234" t="inlineStr">
        <is>
          <t>6d10f3b2-aa81-490b-a14c-7103a431d085</t>
        </is>
      </c>
      <c r="B234" t="n">
        <v>72</v>
      </c>
      <c r="C234" t="n">
        <v>10</v>
      </c>
      <c r="D234" t="n">
        <v>70</v>
      </c>
      <c r="E234" t="n">
        <v>1</v>
      </c>
      <c r="F234" t="n">
        <v>5</v>
      </c>
      <c r="G234" t="n">
        <v>0</v>
      </c>
      <c r="H234" t="n">
        <v>31004664</v>
      </c>
      <c r="I234" t="n">
        <v>10732</v>
      </c>
      <c r="J234" t="inlineStr">
        <is>
          <t>Industri Cokelat dan Kembang Gula dari Cokelat</t>
        </is>
      </c>
      <c r="M234" t="inlineStr">
        <is>
          <t>ZAINAL SUROI</t>
        </is>
      </c>
      <c r="N234" t="inlineStr">
        <is>
          <t>JL.PALU KULAWI RT 003 RW 002</t>
        </is>
      </c>
      <c r="Q234" t="inlineStr">
        <is>
          <t>0. Tidak Ditemukan</t>
        </is>
      </c>
      <c r="R234" t="n">
        <v>0</v>
      </c>
      <c r="V234" t="inlineStr">
        <is>
          <t>Pastikan sesuai kondisi lapangan</t>
        </is>
      </c>
      <c r="W234" t="n">
        <v>0</v>
      </c>
      <c r="AB234" t="inlineStr">
        <is>
          <t>7210070001000500</t>
        </is>
      </c>
      <c r="AC234" t="inlineStr">
        <is>
          <t>APPROVED BY Pengawas</t>
        </is>
      </c>
    </row>
    <row r="235">
      <c r="A235" t="inlineStr">
        <is>
          <t>0354491e-6234-4f81-aff7-ff71c66024ba</t>
        </is>
      </c>
      <c r="B235" t="n">
        <v>72</v>
      </c>
      <c r="C235" t="n">
        <v>10</v>
      </c>
      <c r="D235" t="n">
        <v>70</v>
      </c>
      <c r="E235" t="n">
        <v>2</v>
      </c>
      <c r="F235" t="n">
        <v>2</v>
      </c>
      <c r="G235" t="n">
        <v>0</v>
      </c>
      <c r="H235" t="n">
        <v>27334387</v>
      </c>
      <c r="I235" t="n">
        <v>10710</v>
      </c>
      <c r="J235" t="inlineStr">
        <is>
          <t>Industri Produk Bakeri</t>
        </is>
      </c>
      <c r="M235" t="inlineStr">
        <is>
          <t>ASTRI SRI AVISA</t>
        </is>
      </c>
      <c r="N235" t="inlineStr">
        <is>
          <t>DESA OMU</t>
        </is>
      </c>
      <c r="Q235" t="inlineStr">
        <is>
          <t>0. Tidak Ditemukan</t>
        </is>
      </c>
      <c r="R235" t="n">
        <v>0</v>
      </c>
      <c r="V235" t="inlineStr">
        <is>
          <t>Pastikan sesuai kondisi lapangan</t>
        </is>
      </c>
      <c r="W235" t="n">
        <v>0</v>
      </c>
      <c r="AB235" t="inlineStr">
        <is>
          <t>7210070002000200</t>
        </is>
      </c>
      <c r="AC235" t="inlineStr">
        <is>
          <t>APPROVED BY Pengawas</t>
        </is>
      </c>
    </row>
    <row r="236">
      <c r="A236" t="inlineStr">
        <is>
          <t>efee825a-eb2d-4098-8eed-cc8732f92c43</t>
        </is>
      </c>
      <c r="B236" t="n">
        <v>72</v>
      </c>
      <c r="C236" t="n">
        <v>10</v>
      </c>
      <c r="D236" t="n">
        <v>70</v>
      </c>
      <c r="E236" t="n">
        <v>2</v>
      </c>
      <c r="F236" t="n">
        <v>2</v>
      </c>
      <c r="G236" t="n">
        <v>0</v>
      </c>
      <c r="H236" t="n">
        <v>29878749</v>
      </c>
      <c r="I236" t="n">
        <v>10710</v>
      </c>
      <c r="J236" t="inlineStr">
        <is>
          <t>Industri Produk Bakeri</t>
        </is>
      </c>
      <c r="M236" t="inlineStr">
        <is>
          <t>SITI HAJAR</t>
        </is>
      </c>
      <c r="N236" t="inlineStr">
        <is>
          <t>JL POROS PALU KULAWI</t>
        </is>
      </c>
      <c r="Q236" t="inlineStr">
        <is>
          <t>0. Tidak Ditemukan</t>
        </is>
      </c>
      <c r="R236" t="n">
        <v>0</v>
      </c>
      <c r="V236" t="inlineStr">
        <is>
          <t>Pastikan sesuai kondisi lapangan</t>
        </is>
      </c>
      <c r="W236" t="n">
        <v>0</v>
      </c>
      <c r="AB236" t="inlineStr">
        <is>
          <t>7210070002000200</t>
        </is>
      </c>
      <c r="AC236" t="inlineStr">
        <is>
          <t>APPROVED BY Pengawas</t>
        </is>
      </c>
    </row>
    <row r="237">
      <c r="A237" t="inlineStr">
        <is>
          <t>31d836fd-8254-4d3a-aa96-00d38bce899a</t>
        </is>
      </c>
      <c r="B237" t="n">
        <v>72</v>
      </c>
      <c r="C237" t="n">
        <v>10</v>
      </c>
      <c r="D237" t="n">
        <v>70</v>
      </c>
      <c r="E237" t="n">
        <v>5</v>
      </c>
      <c r="F237" t="n">
        <v>5</v>
      </c>
      <c r="G237" t="n">
        <v>1</v>
      </c>
      <c r="H237" t="n">
        <v>26957872</v>
      </c>
      <c r="I237" t="n">
        <v>10794</v>
      </c>
      <c r="J237" t="inlineStr">
        <is>
          <t>Industri Kerupuk, Keripik, Peyek, dan Sejenisnya</t>
        </is>
      </c>
      <c r="M237" t="inlineStr">
        <is>
          <t>NITA NOVITA SARI</t>
        </is>
      </c>
      <c r="N237" t="inlineStr">
        <is>
          <t>JL PALU KULAWI KM 36</t>
        </is>
      </c>
      <c r="Q237" t="inlineStr">
        <is>
          <t>0. Tidak Ditemukan</t>
        </is>
      </c>
      <c r="R237" t="n">
        <v>0</v>
      </c>
      <c r="V237" t="inlineStr">
        <is>
          <t>Pastikan sesuai kondisi lapangan</t>
        </is>
      </c>
      <c r="W237" t="n">
        <v>0</v>
      </c>
      <c r="AB237" t="inlineStr">
        <is>
          <t>7210070005000501</t>
        </is>
      </c>
      <c r="AC237" t="inlineStr">
        <is>
          <t>APPROVED BY Pengawas</t>
        </is>
      </c>
    </row>
    <row r="238">
      <c r="A238" t="inlineStr">
        <is>
          <t>c8523b50-8d05-4845-ba28-fe31e1eedd59</t>
        </is>
      </c>
      <c r="B238" t="n">
        <v>72</v>
      </c>
      <c r="C238" t="n">
        <v>10</v>
      </c>
      <c r="D238" t="n">
        <v>70</v>
      </c>
      <c r="E238" t="n">
        <v>6</v>
      </c>
      <c r="F238" t="n">
        <v>4</v>
      </c>
      <c r="G238" t="n">
        <v>0</v>
      </c>
      <c r="H238" t="n">
        <v>27745304</v>
      </c>
      <c r="I238" t="n">
        <v>10761</v>
      </c>
      <c r="J238" t="inlineStr">
        <is>
          <t>Pengolahan Kopi</t>
        </is>
      </c>
      <c r="M238" t="inlineStr">
        <is>
          <t>I KETUT PUTRAYASA</t>
        </is>
      </c>
      <c r="N238" t="inlineStr">
        <is>
          <t>JL. POROS PALU GIMPU</t>
        </is>
      </c>
      <c r="Q238" t="inlineStr">
        <is>
          <t>0. Tidak Ditemukan</t>
        </is>
      </c>
      <c r="R238" t="n">
        <v>0</v>
      </c>
      <c r="V238" t="inlineStr">
        <is>
          <t>Pastikan sesuai kondisi lapangan</t>
        </is>
      </c>
      <c r="W238" t="n">
        <v>0</v>
      </c>
      <c r="AB238" t="inlineStr">
        <is>
          <t>7210070006000400</t>
        </is>
      </c>
      <c r="AC238" t="inlineStr">
        <is>
          <t>APPROVED BY Pengawas</t>
        </is>
      </c>
    </row>
    <row r="239">
      <c r="A239" t="inlineStr">
        <is>
          <t>976ce721-9e22-4154-9587-a567389a5b98</t>
        </is>
      </c>
      <c r="B239" t="n">
        <v>72</v>
      </c>
      <c r="C239" t="n">
        <v>10</v>
      </c>
      <c r="D239" t="n">
        <v>80</v>
      </c>
      <c r="E239" t="n">
        <v>1</v>
      </c>
      <c r="F239" t="n">
        <v>3</v>
      </c>
      <c r="G239" t="n">
        <v>0</v>
      </c>
      <c r="H239" t="n">
        <v>27779951</v>
      </c>
      <c r="I239" t="n">
        <v>10794</v>
      </c>
      <c r="J239" t="inlineStr">
        <is>
          <t>Industri Kerupuk, Keripik, Peyek, dan Sejenisnya</t>
        </is>
      </c>
      <c r="M239" t="inlineStr">
        <is>
          <t>NUR FAIZA</t>
        </is>
      </c>
      <c r="N239" t="inlineStr">
        <is>
          <t>DUSUN 2 DESA BANGGA</t>
        </is>
      </c>
      <c r="Q239" t="inlineStr">
        <is>
          <t>0. Tidak Ditemukan</t>
        </is>
      </c>
      <c r="R239" t="n">
        <v>0</v>
      </c>
      <c r="V239" t="inlineStr">
        <is>
          <t>Pastikan sesuai kondisi lapangan</t>
        </is>
      </c>
      <c r="W239" t="n">
        <v>0</v>
      </c>
      <c r="AB239" t="inlineStr">
        <is>
          <t>7210080001000300</t>
        </is>
      </c>
      <c r="AC239" t="inlineStr">
        <is>
          <t>APPROVED BY Pengawas</t>
        </is>
      </c>
    </row>
    <row r="240">
      <c r="A240" t="inlineStr">
        <is>
          <t>cf7b106b-4119-4a88-b8bc-546f58bef852</t>
        </is>
      </c>
      <c r="B240" t="n">
        <v>72</v>
      </c>
      <c r="C240" t="n">
        <v>10</v>
      </c>
      <c r="D240" t="n">
        <v>80</v>
      </c>
      <c r="E240" t="n">
        <v>1</v>
      </c>
      <c r="F240" t="n">
        <v>3</v>
      </c>
      <c r="G240" t="n">
        <v>0</v>
      </c>
      <c r="H240" t="n">
        <v>28270024</v>
      </c>
      <c r="I240" t="n">
        <v>10710</v>
      </c>
      <c r="J240" t="inlineStr">
        <is>
          <t>Industri Produk Bakeri</t>
        </is>
      </c>
      <c r="M240" t="inlineStr">
        <is>
          <t>ULFA INANG</t>
        </is>
      </c>
      <c r="N240" t="inlineStr">
        <is>
          <t>JL. PALU BANGGA</t>
        </is>
      </c>
      <c r="Q240" t="inlineStr">
        <is>
          <t>0. Tidak Ditemukan</t>
        </is>
      </c>
      <c r="R240" t="n">
        <v>0</v>
      </c>
      <c r="V240" t="inlineStr">
        <is>
          <t>Pastikan sesuai kondisi lapangan</t>
        </is>
      </c>
      <c r="W240" t="n">
        <v>0</v>
      </c>
      <c r="AB240" t="inlineStr">
        <is>
          <t>7210080001000300</t>
        </is>
      </c>
      <c r="AC240" t="inlineStr">
        <is>
          <t>APPROVED BY Pengawas</t>
        </is>
      </c>
    </row>
    <row r="241">
      <c r="A241" t="inlineStr">
        <is>
          <t>024499bc-f419-49ce-ae89-8d2d50e8f19b</t>
        </is>
      </c>
      <c r="B241" t="n">
        <v>72</v>
      </c>
      <c r="C241" t="n">
        <v>10</v>
      </c>
      <c r="D241" t="n">
        <v>80</v>
      </c>
      <c r="E241" t="n">
        <v>6</v>
      </c>
      <c r="F241" t="n">
        <v>2</v>
      </c>
      <c r="G241" t="n">
        <v>0</v>
      </c>
      <c r="H241" t="n">
        <v>30089167</v>
      </c>
      <c r="I241" t="n">
        <v>10411</v>
      </c>
      <c r="J241" t="inlineStr">
        <is>
          <t>Industri Minyak Mentah dan Lemak Nabati Bukan Kelapa dan Kelapa Sawit</t>
        </is>
      </c>
      <c r="M241" t="inlineStr">
        <is>
          <t>NA'DILAH</t>
        </is>
      </c>
      <c r="N241" t="inlineStr">
        <is>
          <t>DESA PULU</t>
        </is>
      </c>
      <c r="Q241" t="inlineStr">
        <is>
          <t>0. Tidak Ditemukan</t>
        </is>
      </c>
      <c r="R241" t="n">
        <v>0</v>
      </c>
      <c r="V241" t="inlineStr">
        <is>
          <t>Pastikan sesuai kondisi lapangan</t>
        </is>
      </c>
      <c r="W241" t="n">
        <v>0</v>
      </c>
      <c r="AB241" t="inlineStr">
        <is>
          <t>7210080006000200</t>
        </is>
      </c>
      <c r="AC241" t="inlineStr">
        <is>
          <t>APPROVED BY Pengawas</t>
        </is>
      </c>
    </row>
    <row r="242">
      <c r="A242" t="inlineStr">
        <is>
          <t>3e502eb6-6138-4944-8858-bbdb59ad57eb</t>
        </is>
      </c>
      <c r="B242" t="n">
        <v>72</v>
      </c>
      <c r="C242" t="n">
        <v>10</v>
      </c>
      <c r="D242" t="n">
        <v>110</v>
      </c>
      <c r="E242" t="n">
        <v>6</v>
      </c>
      <c r="F242" t="n">
        <v>6</v>
      </c>
      <c r="G242" t="n">
        <v>0</v>
      </c>
      <c r="H242" t="n">
        <v>30541409</v>
      </c>
      <c r="I242" t="n">
        <v>10750</v>
      </c>
      <c r="J242" t="inlineStr">
        <is>
          <t>Industri Makanan dan Masakan Olahan</t>
        </is>
      </c>
      <c r="M242" t="inlineStr">
        <is>
          <t>SUHAEPA J WETANG</t>
        </is>
      </c>
      <c r="N242" t="inlineStr">
        <is>
          <t>JL. PALU KULAWI DESA KOTAPULU KEC. DOLO</t>
        </is>
      </c>
      <c r="Q242" t="inlineStr">
        <is>
          <t>0. Tidak Ditemukan</t>
        </is>
      </c>
      <c r="R242" t="n">
        <v>0</v>
      </c>
      <c r="V242" t="inlineStr">
        <is>
          <t>Pastikan sesuai kondisi lapangan</t>
        </is>
      </c>
      <c r="W242" t="n">
        <v>0</v>
      </c>
      <c r="AB242" t="inlineStr">
        <is>
          <t>7210110006000600</t>
        </is>
      </c>
      <c r="AC242" t="inlineStr">
        <is>
          <t>APPROVED BY Pengawas</t>
        </is>
      </c>
    </row>
    <row r="243">
      <c r="A243" t="inlineStr">
        <is>
          <t>ee0eef7d-e54b-4112-a0ed-e1a094577464</t>
        </is>
      </c>
      <c r="B243" t="n">
        <v>72</v>
      </c>
      <c r="C243" t="n">
        <v>10</v>
      </c>
      <c r="D243" t="n">
        <v>110</v>
      </c>
      <c r="E243" t="n">
        <v>8</v>
      </c>
      <c r="F243" t="n">
        <v>4</v>
      </c>
      <c r="G243" t="n">
        <v>0</v>
      </c>
      <c r="H243" t="n">
        <v>26347861</v>
      </c>
      <c r="I243" t="n">
        <v>10710</v>
      </c>
      <c r="J243" t="inlineStr">
        <is>
          <t>Industri Produk Bakeri</t>
        </is>
      </c>
      <c r="M243" t="inlineStr">
        <is>
          <t xml:space="preserve">MUH. SURYA AKBAR </t>
        </is>
      </c>
      <c r="N243" t="inlineStr">
        <is>
          <t>BTN KOTARINDAU</t>
        </is>
      </c>
      <c r="Q243" t="inlineStr">
        <is>
          <t>0. Tidak Ditemukan</t>
        </is>
      </c>
      <c r="R243" t="n">
        <v>0</v>
      </c>
      <c r="V243" t="inlineStr">
        <is>
          <t>Pastikan sesuai kondisi lapangan</t>
        </is>
      </c>
      <c r="W243" t="n">
        <v>0</v>
      </c>
      <c r="AB243" t="inlineStr">
        <is>
          <t>7210110008000400</t>
        </is>
      </c>
      <c r="AC243" t="inlineStr">
        <is>
          <t>APPROVED BY Pengawas</t>
        </is>
      </c>
    </row>
    <row r="244">
      <c r="A244" t="inlineStr">
        <is>
          <t>da2e1822-283a-47c3-b279-784c5cff7e5e</t>
        </is>
      </c>
      <c r="B244" t="n">
        <v>72</v>
      </c>
      <c r="C244" t="n">
        <v>10</v>
      </c>
      <c r="D244" t="n">
        <v>110</v>
      </c>
      <c r="E244" t="n">
        <v>8</v>
      </c>
      <c r="F244" t="n">
        <v>4</v>
      </c>
      <c r="G244" t="n">
        <v>0</v>
      </c>
      <c r="H244" t="n">
        <v>57662692</v>
      </c>
      <c r="I244" t="n">
        <v>11051</v>
      </c>
      <c r="J244" t="inlineStr">
        <is>
          <t>Industri Air Kemasan</t>
        </is>
      </c>
      <c r="M244" t="inlineStr">
        <is>
          <t>KOPERASI KONSUMEN PONDOK PESANTREN MADINATUL ILMI ALKHAIRAAT DOLO</t>
        </is>
      </c>
      <c r="N244" t="inlineStr">
        <is>
          <t>JL. TRANS PALU KULAWI</t>
        </is>
      </c>
      <c r="Q244" t="inlineStr">
        <is>
          <t>0. Tidak Ditemukan</t>
        </is>
      </c>
      <c r="R244" t="n">
        <v>0</v>
      </c>
      <c r="V244" t="inlineStr">
        <is>
          <t>Pastikan sesuai kondisi lapangan</t>
        </is>
      </c>
      <c r="W244" t="n">
        <v>0</v>
      </c>
      <c r="AB244" t="inlineStr">
        <is>
          <t>7210110008000400</t>
        </is>
      </c>
      <c r="AC244" t="inlineStr">
        <is>
          <t>APPROVED BY Pengawas</t>
        </is>
      </c>
    </row>
    <row r="245">
      <c r="A245" t="inlineStr">
        <is>
          <t>3c60a151-e2ce-40ad-9193-ffd9ee9c7c63</t>
        </is>
      </c>
      <c r="B245" t="n">
        <v>72</v>
      </c>
      <c r="C245" t="n">
        <v>10</v>
      </c>
      <c r="D245" t="n">
        <v>110</v>
      </c>
      <c r="E245" t="n">
        <v>11</v>
      </c>
      <c r="F245" t="n">
        <v>6</v>
      </c>
      <c r="G245" t="n">
        <v>0</v>
      </c>
      <c r="H245" t="n">
        <v>31127354</v>
      </c>
      <c r="I245" t="n">
        <v>10710</v>
      </c>
      <c r="J245" t="inlineStr">
        <is>
          <t>Industri Produk Bakeri</t>
        </is>
      </c>
      <c r="M245" t="inlineStr">
        <is>
          <t>LULU</t>
        </is>
      </c>
      <c r="N245" t="inlineStr">
        <is>
          <t>JL HABIB MUHAMMAD ALJUFRI</t>
        </is>
      </c>
      <c r="Q245" t="inlineStr">
        <is>
          <t>0. Tidak Ditemukan</t>
        </is>
      </c>
      <c r="R245" t="n">
        <v>0</v>
      </c>
      <c r="V245" t="inlineStr">
        <is>
          <t>Pastikan sesuai kondisi lapangan</t>
        </is>
      </c>
      <c r="W245" t="n">
        <v>0</v>
      </c>
      <c r="AB245" t="inlineStr">
        <is>
          <t>7210110011000600</t>
        </is>
      </c>
      <c r="AC245" t="inlineStr">
        <is>
          <t>APPROVED BY Pengawas</t>
        </is>
      </c>
    </row>
    <row r="246">
      <c r="A246" t="inlineStr">
        <is>
          <t>77b25716-f011-4176-9c90-3ace3886d3c5</t>
        </is>
      </c>
      <c r="B246" t="n">
        <v>72</v>
      </c>
      <c r="C246" t="n">
        <v>10</v>
      </c>
      <c r="D246" t="n">
        <v>120</v>
      </c>
      <c r="E246" t="n">
        <v>12</v>
      </c>
      <c r="F246" t="n">
        <v>12</v>
      </c>
      <c r="G246" t="n">
        <v>1</v>
      </c>
      <c r="H246" t="n">
        <v>29808085</v>
      </c>
      <c r="I246" t="n">
        <v>10504</v>
      </c>
      <c r="J246" t="inlineStr">
        <is>
          <t>Industri Es yang Dapat Dimakan dan Es Pencuci Mulut</t>
        </is>
      </c>
      <c r="M246" t="inlineStr">
        <is>
          <t>ENI SRI WAHYUNI</t>
        </is>
      </c>
      <c r="N246" t="inlineStr">
        <is>
          <t>PERUMAHAN KELAPA GADING BLOK Q</t>
        </is>
      </c>
      <c r="Q246" t="inlineStr">
        <is>
          <t>0. Tidak Ditemukan</t>
        </is>
      </c>
      <c r="R246" t="n">
        <v>0</v>
      </c>
      <c r="V246" t="inlineStr">
        <is>
          <t>Pastikan sesuai kondisi lapangan</t>
        </is>
      </c>
      <c r="W246" t="n">
        <v>0</v>
      </c>
      <c r="X246" t="inlineStr">
        <is>
          <t>Alamat prelist ada di wilayah SLS lain, Sehingga Tidak Di temukan di wilayah SLS tersebut</t>
        </is>
      </c>
      <c r="AB246" t="inlineStr">
        <is>
          <t>7210120012001201</t>
        </is>
      </c>
      <c r="AC246" t="inlineStr">
        <is>
          <t>APPROVED BY Pengawas</t>
        </is>
      </c>
    </row>
    <row r="247">
      <c r="A247" t="inlineStr">
        <is>
          <t>d617c09f-81e8-405a-ad77-c85e39e25d80</t>
        </is>
      </c>
      <c r="B247" t="n">
        <v>72</v>
      </c>
      <c r="C247" t="n">
        <v>10</v>
      </c>
      <c r="D247" t="n">
        <v>120</v>
      </c>
      <c r="E247" t="n">
        <v>14</v>
      </c>
      <c r="F247" t="n">
        <v>1</v>
      </c>
      <c r="G247" t="n">
        <v>0</v>
      </c>
      <c r="H247" t="n">
        <v>30131107</v>
      </c>
      <c r="I247" t="n">
        <v>10762</v>
      </c>
      <c r="J247" t="inlineStr">
        <is>
          <t>Pengolahan Teh</t>
        </is>
      </c>
      <c r="M247" t="inlineStr">
        <is>
          <t>STEVANI WEROKATI</t>
        </is>
      </c>
      <c r="N247" t="inlineStr">
        <is>
          <t xml:space="preserve">JL. PRAMUKA DUSUN 1 </t>
        </is>
      </c>
      <c r="Q247" t="inlineStr">
        <is>
          <t>0. Tidak Ditemukan</t>
        </is>
      </c>
      <c r="R247" t="n">
        <v>0</v>
      </c>
      <c r="V247" t="inlineStr">
        <is>
          <t>Pastikan sesuai kondisi lapangan</t>
        </is>
      </c>
      <c r="W247" t="n">
        <v>0</v>
      </c>
      <c r="AB247" t="inlineStr">
        <is>
          <t>7210120014000100</t>
        </is>
      </c>
      <c r="AC247" t="inlineStr">
        <is>
          <t>APPROVED BY Pengawas</t>
        </is>
      </c>
    </row>
    <row r="248">
      <c r="A248" t="inlineStr">
        <is>
          <t>038edd16-3c30-4df6-83d4-e1cb3b5357dc</t>
        </is>
      </c>
      <c r="B248" t="n">
        <v>72</v>
      </c>
      <c r="C248" t="n">
        <v>10</v>
      </c>
      <c r="D248" t="n">
        <v>130</v>
      </c>
      <c r="E248" t="n">
        <v>5</v>
      </c>
      <c r="F248" t="n">
        <v>4</v>
      </c>
      <c r="G248" t="n">
        <v>0</v>
      </c>
      <c r="H248" t="n">
        <v>27160204</v>
      </c>
      <c r="I248" t="n">
        <v>10710</v>
      </c>
      <c r="J248" t="inlineStr">
        <is>
          <t>Industri Produk Bakeri</t>
        </is>
      </c>
      <c r="M248" t="inlineStr">
        <is>
          <t>SUHESTIN</t>
        </is>
      </c>
      <c r="N248" t="inlineStr">
        <is>
          <t>PADENDE</t>
        </is>
      </c>
      <c r="Q248" t="inlineStr">
        <is>
          <t>0. Tidak Ditemukan</t>
        </is>
      </c>
      <c r="R248" t="n">
        <v>0</v>
      </c>
      <c r="V248" t="inlineStr">
        <is>
          <t>Pastikan sesuai kondisi lapangan</t>
        </is>
      </c>
      <c r="W248" t="n">
        <v>0</v>
      </c>
      <c r="AB248" t="inlineStr">
        <is>
          <t>7210130005000400</t>
        </is>
      </c>
      <c r="AC248" t="inlineStr">
        <is>
          <t>APPROVED BY Pengawas</t>
        </is>
      </c>
    </row>
    <row r="249">
      <c r="A249" t="inlineStr">
        <is>
          <t>3f4af942-2e11-468b-985d-d2280cefa409</t>
        </is>
      </c>
      <c r="B249" t="n">
        <v>72</v>
      </c>
      <c r="C249" t="n">
        <v>10</v>
      </c>
      <c r="D249" t="n">
        <v>130</v>
      </c>
      <c r="E249" t="n">
        <v>5</v>
      </c>
      <c r="F249" t="n">
        <v>4</v>
      </c>
      <c r="G249" t="n">
        <v>0</v>
      </c>
      <c r="H249" t="n">
        <v>30004518</v>
      </c>
      <c r="I249" t="n">
        <v>10794</v>
      </c>
      <c r="J249" t="inlineStr">
        <is>
          <t>Industri Kerupuk, Keripik, Peyek, dan Sejenisnya</t>
        </is>
      </c>
      <c r="M249" t="inlineStr">
        <is>
          <t>MARTIN</t>
        </is>
      </c>
      <c r="N249" t="inlineStr">
        <is>
          <t>DESA PADENDE</t>
        </is>
      </c>
      <c r="Q249" t="inlineStr">
        <is>
          <t>0. Tidak Ditemukan</t>
        </is>
      </c>
      <c r="R249" t="n">
        <v>0</v>
      </c>
      <c r="V249" t="inlineStr">
        <is>
          <t>Pastikan sesuai kondisi lapangan</t>
        </is>
      </c>
      <c r="W249" t="n">
        <v>0</v>
      </c>
      <c r="AB249" t="inlineStr">
        <is>
          <t>7210130005000400</t>
        </is>
      </c>
      <c r="AC249" t="inlineStr">
        <is>
          <t>APPROVED BY Pengawas</t>
        </is>
      </c>
    </row>
    <row r="250">
      <c r="A250" t="inlineStr">
        <is>
          <t>35519796-c46d-4f4e-ad77-a0fd19bec459</t>
        </is>
      </c>
      <c r="B250" t="n">
        <v>72</v>
      </c>
      <c r="C250" t="n">
        <v>10</v>
      </c>
      <c r="D250" t="n">
        <v>130</v>
      </c>
      <c r="E250" t="n">
        <v>8</v>
      </c>
      <c r="F250" t="n">
        <v>14</v>
      </c>
      <c r="G250" t="n">
        <v>0</v>
      </c>
      <c r="H250" t="n">
        <v>28897678</v>
      </c>
      <c r="I250" t="n">
        <v>10792</v>
      </c>
      <c r="J250" t="inlineStr">
        <is>
          <t>Industri Kue Basah</t>
        </is>
      </c>
      <c r="M250" t="inlineStr">
        <is>
          <t>SUNARSIH NONTJI</t>
        </is>
      </c>
      <c r="N250" t="inlineStr">
        <is>
          <t>BTN CITRA ALAM TINGGEDE BLOK G NO.3</t>
        </is>
      </c>
      <c r="Q250" t="inlineStr">
        <is>
          <t>0. Tidak Ditemukan</t>
        </is>
      </c>
      <c r="R250" t="n">
        <v>0</v>
      </c>
      <c r="V250" t="inlineStr">
        <is>
          <t>Pastikan sesuai kondisi lapangan</t>
        </is>
      </c>
      <c r="W250" t="n">
        <v>0</v>
      </c>
      <c r="AB250" t="inlineStr">
        <is>
          <t>7210130008001400</t>
        </is>
      </c>
      <c r="AC250" t="inlineStr">
        <is>
          <t>APPROVED BY Pengawas</t>
        </is>
      </c>
    </row>
    <row r="251">
      <c r="A251" t="inlineStr">
        <is>
          <t>ebf70f0a-4729-4195-b5ab-db3557f8012c</t>
        </is>
      </c>
      <c r="B251" t="n">
        <v>72</v>
      </c>
      <c r="C251" t="n">
        <v>10</v>
      </c>
      <c r="D251" t="n">
        <v>130</v>
      </c>
      <c r="E251" t="n">
        <v>8</v>
      </c>
      <c r="F251" t="n">
        <v>14</v>
      </c>
      <c r="G251" t="n">
        <v>0</v>
      </c>
      <c r="H251" t="n">
        <v>28699703</v>
      </c>
      <c r="M251" t="inlineStr">
        <is>
          <t>KOMARIAH</t>
        </is>
      </c>
      <c r="N251" t="inlineStr">
        <is>
          <t>BTN CITRA ALAM TINGGEDE III BLOK C NO. 08</t>
        </is>
      </c>
      <c r="Q251" t="inlineStr">
        <is>
          <t>0. Tidak Ditemukan</t>
        </is>
      </c>
      <c r="R251" t="n">
        <v>0</v>
      </c>
      <c r="V251" t="inlineStr">
        <is>
          <t>Pastikan sesuai kondisi lapangan</t>
        </is>
      </c>
      <c r="W251" t="n">
        <v>0</v>
      </c>
      <c r="AB251" t="inlineStr">
        <is>
          <t>7210130008001400</t>
        </is>
      </c>
      <c r="AC251" t="inlineStr">
        <is>
          <t>APPROVED BY Pengawas</t>
        </is>
      </c>
    </row>
    <row r="252">
      <c r="A252" t="inlineStr">
        <is>
          <t>d09a9a6f-642d-43a5-a848-8bd7ad16df49</t>
        </is>
      </c>
      <c r="B252" t="n">
        <v>72</v>
      </c>
      <c r="C252" t="n">
        <v>10</v>
      </c>
      <c r="D252" t="n">
        <v>130</v>
      </c>
      <c r="E252" t="n">
        <v>8</v>
      </c>
      <c r="F252" t="n">
        <v>14</v>
      </c>
      <c r="G252" t="n">
        <v>0</v>
      </c>
      <c r="H252" t="n">
        <v>26066839</v>
      </c>
      <c r="I252" t="n">
        <v>32903</v>
      </c>
      <c r="J252" t="inlineStr">
        <is>
          <t>Industri Kerajinan YTDL</t>
        </is>
      </c>
      <c r="M252" t="inlineStr">
        <is>
          <t>JUNIANTI</t>
        </is>
      </c>
      <c r="N252" t="inlineStr">
        <is>
          <t>BTN HIMALAYA GARDEN</t>
        </is>
      </c>
      <c r="Q252" t="inlineStr">
        <is>
          <t>0. Tidak Ditemukan</t>
        </is>
      </c>
      <c r="R252" t="n">
        <v>0</v>
      </c>
      <c r="V252" t="inlineStr">
        <is>
          <t>Pastikan sesuai kondisi lapangan</t>
        </is>
      </c>
      <c r="W252" t="n">
        <v>0</v>
      </c>
      <c r="AB252" t="inlineStr">
        <is>
          <t>7210130008001400</t>
        </is>
      </c>
      <c r="AC252" t="inlineStr">
        <is>
          <t>APPROVED BY Pengawas</t>
        </is>
      </c>
    </row>
    <row r="253">
      <c r="A253" t="inlineStr">
        <is>
          <t>f2656539-7863-463a-8f65-95f654c93787</t>
        </is>
      </c>
      <c r="B253" t="n">
        <v>72</v>
      </c>
      <c r="C253" t="n">
        <v>10</v>
      </c>
      <c r="D253" t="n">
        <v>130</v>
      </c>
      <c r="E253" t="n">
        <v>8</v>
      </c>
      <c r="F253" t="n">
        <v>14</v>
      </c>
      <c r="G253" t="n">
        <v>0</v>
      </c>
      <c r="H253" t="n">
        <v>28465368</v>
      </c>
      <c r="I253" t="n">
        <v>10219</v>
      </c>
      <c r="J253" t="inlineStr">
        <is>
          <t>Pengolahan dan Pengawetan Ikan dengan Metode Lainnya</t>
        </is>
      </c>
      <c r="M253" t="inlineStr">
        <is>
          <t>MARTHA ADELINA SITUMORANG</t>
        </is>
      </c>
      <c r="N253" t="inlineStr">
        <is>
          <t>PERUM CITRA ALAM TINGGEDE III BLOK F NO. 09</t>
        </is>
      </c>
      <c r="Q253" t="inlineStr">
        <is>
          <t>0. Tidak Ditemukan</t>
        </is>
      </c>
      <c r="R253" t="n">
        <v>0</v>
      </c>
      <c r="V253" t="inlineStr">
        <is>
          <t>Pastikan sesuai kondisi lapangan</t>
        </is>
      </c>
      <c r="W253" t="n">
        <v>0</v>
      </c>
      <c r="AB253" t="inlineStr">
        <is>
          <t>7210130008001400</t>
        </is>
      </c>
      <c r="AC253" t="inlineStr">
        <is>
          <t>APPROVED BY Pengawas</t>
        </is>
      </c>
    </row>
    <row r="254">
      <c r="A254" t="inlineStr">
        <is>
          <t>e41022f1-ab45-443b-9ae0-eefad926f485</t>
        </is>
      </c>
      <c r="B254" t="n">
        <v>72</v>
      </c>
      <c r="C254" t="n">
        <v>10</v>
      </c>
      <c r="D254" t="n">
        <v>130</v>
      </c>
      <c r="E254" t="n">
        <v>8</v>
      </c>
      <c r="F254" t="n">
        <v>14</v>
      </c>
      <c r="G254" t="n">
        <v>0</v>
      </c>
      <c r="H254" t="n">
        <v>26231188</v>
      </c>
      <c r="I254" t="n">
        <v>10750</v>
      </c>
      <c r="J254" t="inlineStr">
        <is>
          <t>Industri Makanan dan Masakan Olahan</t>
        </is>
      </c>
      <c r="M254" t="inlineStr">
        <is>
          <t>MAYA LATIEF</t>
        </is>
      </c>
      <c r="N254" t="inlineStr">
        <is>
          <t>PERUM CITRA ALAM TINGGEDE BLOK A NO.08</t>
        </is>
      </c>
      <c r="Q254" t="inlineStr">
        <is>
          <t>0. Tidak Ditemukan</t>
        </is>
      </c>
      <c r="R254" t="n">
        <v>0</v>
      </c>
      <c r="V254" t="inlineStr">
        <is>
          <t>Pastikan sesuai kondisi lapangan</t>
        </is>
      </c>
      <c r="W254" t="n">
        <v>0</v>
      </c>
      <c r="AB254" t="inlineStr">
        <is>
          <t>7210130008001400</t>
        </is>
      </c>
      <c r="AC254" t="inlineStr">
        <is>
          <t>APPROVED BY Pengawas</t>
        </is>
      </c>
    </row>
    <row r="255">
      <c r="A255" t="inlineStr">
        <is>
          <t>15da0241-ebbc-414e-bb6d-3ef391f7ee62</t>
        </is>
      </c>
      <c r="B255" t="n">
        <v>72</v>
      </c>
      <c r="C255" t="n">
        <v>10</v>
      </c>
      <c r="D255" t="n">
        <v>130</v>
      </c>
      <c r="E255" t="n">
        <v>8</v>
      </c>
      <c r="F255" t="n">
        <v>14</v>
      </c>
      <c r="G255" t="n">
        <v>0</v>
      </c>
      <c r="H255" t="n">
        <v>28233410</v>
      </c>
      <c r="I255" t="n">
        <v>10750</v>
      </c>
      <c r="J255" t="inlineStr">
        <is>
          <t>Industri Makanan dan Masakan Olahan</t>
        </is>
      </c>
      <c r="M255" t="inlineStr">
        <is>
          <t>YENNI HAKU</t>
        </is>
      </c>
      <c r="N255" t="inlineStr">
        <is>
          <t>JL. KENARI 9, NO. 7 PERUMNAS TINGGEDE</t>
        </is>
      </c>
      <c r="Q255" t="inlineStr">
        <is>
          <t>0. Tidak Ditemukan</t>
        </is>
      </c>
      <c r="R255" t="n">
        <v>0</v>
      </c>
      <c r="V255" t="inlineStr">
        <is>
          <t>Pastikan sesuai kondisi lapangan</t>
        </is>
      </c>
      <c r="W255" t="n">
        <v>0</v>
      </c>
      <c r="AB255" t="inlineStr">
        <is>
          <t>7210130008001400</t>
        </is>
      </c>
      <c r="AC255" t="inlineStr">
        <is>
          <t>APPROVED BY Pengawas</t>
        </is>
      </c>
    </row>
    <row r="256">
      <c r="A256" t="inlineStr">
        <is>
          <t>6f8d4313-84e6-44e3-a17d-49109fbdfd85</t>
        </is>
      </c>
      <c r="B256" t="n">
        <v>72</v>
      </c>
      <c r="C256" t="n">
        <v>10</v>
      </c>
      <c r="D256" t="n">
        <v>130</v>
      </c>
      <c r="E256" t="n">
        <v>8</v>
      </c>
      <c r="F256" t="n">
        <v>14</v>
      </c>
      <c r="G256" t="n">
        <v>0</v>
      </c>
      <c r="H256" t="n">
        <v>28792398</v>
      </c>
      <c r="M256" t="inlineStr">
        <is>
          <t>ELLA LAELAWATI</t>
        </is>
      </c>
      <c r="N256" t="inlineStr">
        <is>
          <t xml:space="preserve">BTN CITRA ALAM TINGGEDE III </t>
        </is>
      </c>
      <c r="Q256" t="inlineStr">
        <is>
          <t>0. Tidak Ditemukan</t>
        </is>
      </c>
      <c r="R256" t="n">
        <v>0</v>
      </c>
      <c r="V256" t="inlineStr">
        <is>
          <t>Pastikan sesuai kondisi lapangan</t>
        </is>
      </c>
      <c r="W256" t="n">
        <v>0</v>
      </c>
      <c r="AB256" t="inlineStr">
        <is>
          <t>7210130008001400</t>
        </is>
      </c>
      <c r="AC256" t="inlineStr">
        <is>
          <t>APPROVED BY Pengawas</t>
        </is>
      </c>
    </row>
    <row r="257">
      <c r="A257" t="inlineStr">
        <is>
          <t>6a8300dc-efb9-45c9-b0da-146eeaed8b9f</t>
        </is>
      </c>
      <c r="B257" t="n">
        <v>72</v>
      </c>
      <c r="C257" t="n">
        <v>11</v>
      </c>
      <c r="D257" t="n">
        <v>40</v>
      </c>
      <c r="E257" t="n">
        <v>5</v>
      </c>
      <c r="F257" t="n">
        <v>3</v>
      </c>
      <c r="G257" t="n">
        <v>0</v>
      </c>
      <c r="H257" t="n">
        <v>27389267</v>
      </c>
      <c r="I257" t="n">
        <v>47711</v>
      </c>
      <c r="J257" t="inlineStr">
        <is>
          <t>Perdagangan Eceran Pakaian</t>
        </is>
      </c>
      <c r="M257" t="inlineStr">
        <is>
          <t>YULIANTI BEDJO SAMPURNO</t>
        </is>
      </c>
      <c r="N257" t="inlineStr">
        <is>
          <t>JL. R. TADJA</t>
        </is>
      </c>
      <c r="Q257" t="inlineStr">
        <is>
          <t>0. Tidak Ditemukan</t>
        </is>
      </c>
      <c r="R257" t="n">
        <v>0</v>
      </c>
      <c r="V257" t="inlineStr">
        <is>
          <t>Pastikan sesuai kondisi lapangan</t>
        </is>
      </c>
      <c r="W257" t="n">
        <v>0</v>
      </c>
      <c r="X257" t="inlineStr">
        <is>
          <t>Alamat dalam prelist berbeda dengan alamat sebenarnya sehingga tidak di temukan di dalam prelist.</t>
        </is>
      </c>
      <c r="AB257" t="inlineStr">
        <is>
          <t>7211040005000300</t>
        </is>
      </c>
      <c r="AC257" t="inlineStr">
        <is>
          <t>APPROVED BY Pengawas</t>
        </is>
      </c>
    </row>
    <row r="258">
      <c r="A258" t="inlineStr">
        <is>
          <t>7d0128ff-b0d7-4649-be84-c18d074f2217</t>
        </is>
      </c>
      <c r="B258" t="n">
        <v>72</v>
      </c>
      <c r="C258" t="n">
        <v>11</v>
      </c>
      <c r="D258" t="n">
        <v>40</v>
      </c>
      <c r="E258" t="n">
        <v>5</v>
      </c>
      <c r="F258" t="n">
        <v>9</v>
      </c>
      <c r="G258" t="n">
        <v>0</v>
      </c>
      <c r="H258" t="n">
        <v>31235524</v>
      </c>
      <c r="I258" t="n">
        <v>10212</v>
      </c>
      <c r="J258" t="inlineStr">
        <is>
          <t>Pengolahan dan Pengawetan Ikan dengan Pengasapan atau Pemanggangan</t>
        </is>
      </c>
      <c r="M258" t="inlineStr">
        <is>
          <t>MARYAM Z. SALATUN</t>
        </is>
      </c>
      <c r="N258" t="inlineStr">
        <is>
          <t>JL. R. ABD. AZIS</t>
        </is>
      </c>
      <c r="Q258" t="inlineStr">
        <is>
          <t>0. Tidak Ditemukan</t>
        </is>
      </c>
      <c r="R258" t="n">
        <v>0</v>
      </c>
      <c r="V258" t="inlineStr">
        <is>
          <t>Pastikan sesuai kondisi lapangan</t>
        </is>
      </c>
      <c r="W258" t="n">
        <v>0</v>
      </c>
      <c r="AB258" t="inlineStr">
        <is>
          <t>7211040005000900</t>
        </is>
      </c>
      <c r="AC258" t="inlineStr">
        <is>
          <t>APPROVED BY Pengawas</t>
        </is>
      </c>
    </row>
    <row r="259">
      <c r="A259" t="inlineStr">
        <is>
          <t>e0ed869f-dbf3-41d0-a744-e0c8edc24ebc</t>
        </is>
      </c>
      <c r="B259" t="n">
        <v>72</v>
      </c>
      <c r="C259" t="n">
        <v>12</v>
      </c>
      <c r="D259" t="n">
        <v>10</v>
      </c>
      <c r="E259" t="n">
        <v>6</v>
      </c>
      <c r="F259" t="n">
        <v>6</v>
      </c>
      <c r="G259" t="n">
        <v>0</v>
      </c>
      <c r="H259" t="n">
        <v>28232096</v>
      </c>
      <c r="I259" t="n">
        <v>46334</v>
      </c>
      <c r="J259" t="inlineStr">
        <is>
          <t>Perdagangan Besar Minuman Nonalkohol Bukan Susu</t>
        </is>
      </c>
      <c r="M259" t="inlineStr">
        <is>
          <t>ELEN MERSATI BARAU</t>
        </is>
      </c>
      <c r="N259" t="inlineStr">
        <is>
          <t>TOMATA</t>
        </is>
      </c>
      <c r="Q259" t="inlineStr">
        <is>
          <t>0. Tidak Ditemukan</t>
        </is>
      </c>
      <c r="R259" t="n">
        <v>0</v>
      </c>
      <c r="V259" t="inlineStr">
        <is>
          <t>Pastikan sesuai kondisi lapangan</t>
        </is>
      </c>
      <c r="W259" t="n">
        <v>0</v>
      </c>
      <c r="AB259" t="inlineStr">
        <is>
          <t>7212010006000600</t>
        </is>
      </c>
      <c r="AC259" t="inlineStr">
        <is>
          <t>APPROVED BY Pengawas</t>
        </is>
      </c>
    </row>
    <row r="260">
      <c r="A260" t="inlineStr">
        <is>
          <t>9fe978b0-8429-4859-9869-f5f9021db844</t>
        </is>
      </c>
      <c r="B260" t="n">
        <v>72</v>
      </c>
      <c r="C260" t="n">
        <v>12</v>
      </c>
      <c r="D260" t="n">
        <v>20</v>
      </c>
      <c r="E260" t="n">
        <v>8</v>
      </c>
      <c r="F260" t="n">
        <v>10</v>
      </c>
      <c r="G260" t="n">
        <v>0</v>
      </c>
      <c r="H260" t="n">
        <v>28520741</v>
      </c>
      <c r="I260" t="n">
        <v>10710</v>
      </c>
      <c r="J260" t="inlineStr">
        <is>
          <t>Industri Produk Bakeri</t>
        </is>
      </c>
      <c r="M260" t="inlineStr">
        <is>
          <t>MARTINA SIGALEMBA</t>
        </is>
      </c>
      <c r="N260" t="inlineStr">
        <is>
          <t>desa beteleme</t>
        </is>
      </c>
      <c r="Q260" t="inlineStr">
        <is>
          <t>0. Tidak Ditemukan</t>
        </is>
      </c>
      <c r="R260" t="n">
        <v>0</v>
      </c>
      <c r="V260" t="inlineStr">
        <is>
          <t>Pastikan sesuai kondisi lapangan</t>
        </is>
      </c>
      <c r="W260" t="n">
        <v>0</v>
      </c>
      <c r="AB260" t="inlineStr">
        <is>
          <t>7212020008001000</t>
        </is>
      </c>
      <c r="AC260" t="inlineStr">
        <is>
          <t>APPROVED BY Pengawas</t>
        </is>
      </c>
    </row>
    <row r="261">
      <c r="A261" t="inlineStr">
        <is>
          <t>5bb48b15-91ff-464c-8aeb-4c54c304930f</t>
        </is>
      </c>
      <c r="B261" t="n">
        <v>72</v>
      </c>
      <c r="C261" t="n">
        <v>12</v>
      </c>
      <c r="D261" t="n">
        <v>30</v>
      </c>
      <c r="E261" t="n">
        <v>1</v>
      </c>
      <c r="F261" t="n">
        <v>1</v>
      </c>
      <c r="G261" t="n">
        <v>0</v>
      </c>
      <c r="H261" t="n">
        <v>26367847</v>
      </c>
      <c r="I261" t="n">
        <v>10794</v>
      </c>
      <c r="J261" t="inlineStr">
        <is>
          <t>Industri Kerupuk, Keripik, Peyek, dan Sejenisnya</t>
        </is>
      </c>
      <c r="K261" t="n">
        <v>1291</v>
      </c>
      <c r="L261" t="inlineStr">
        <is>
          <t>Pertanian Pohon Karet dan Tanaman Penghasil Getah Lainnya</t>
        </is>
      </c>
      <c r="M261" t="inlineStr">
        <is>
          <t>MENYADAP TANAMAN KARET (I KOMANG SUDIARMIKA)</t>
        </is>
      </c>
      <c r="N261" t="inlineStr">
        <is>
          <t>JALAN DUSUN 1 -</t>
        </is>
      </c>
      <c r="O261" t="inlineStr">
        <is>
          <t>I KOMANG SUDIARMIKA</t>
        </is>
      </c>
      <c r="Q261" t="inlineStr">
        <is>
          <t>2. Baru</t>
        </is>
      </c>
      <c r="R261" t="n">
        <v>2</v>
      </c>
      <c r="V261" t="inlineStr">
        <is>
          <t>Pastikan kode KBLI sesuai dengan kode KBLI cakupan BPOM yang tertera dalam buku Pedoman</t>
        </is>
      </c>
      <c r="W261" t="n">
        <v>0</v>
      </c>
      <c r="AB261" t="inlineStr">
        <is>
          <t>7212030001000100</t>
        </is>
      </c>
      <c r="AC261" t="inlineStr">
        <is>
          <t>APPROVED BY Pengawas</t>
        </is>
      </c>
    </row>
    <row r="262">
      <c r="A262" t="inlineStr">
        <is>
          <t>a1c75247-c057-4866-a1b9-3cd49837ef6a</t>
        </is>
      </c>
      <c r="B262" t="n">
        <v>72</v>
      </c>
      <c r="C262" t="n">
        <v>12</v>
      </c>
      <c r="D262" t="n">
        <v>30</v>
      </c>
      <c r="E262" t="n">
        <v>1</v>
      </c>
      <c r="F262" t="n">
        <v>1</v>
      </c>
      <c r="G262" t="n">
        <v>0</v>
      </c>
      <c r="H262" t="n">
        <v>26367847</v>
      </c>
      <c r="I262" t="n">
        <v>10794</v>
      </c>
      <c r="J262" t="inlineStr">
        <is>
          <t>Industri Kerupuk, Keripik, Peyek, dan Sejenisnya</t>
        </is>
      </c>
      <c r="M262" t="inlineStr">
        <is>
          <t>TRI SUWANTI</t>
        </is>
      </c>
      <c r="N262" t="inlineStr">
        <is>
          <t>Dolupo karya</t>
        </is>
      </c>
      <c r="Q262" t="inlineStr">
        <is>
          <t>0. Tidak Ditemukan</t>
        </is>
      </c>
      <c r="R262" t="n">
        <v>0</v>
      </c>
      <c r="V262" t="inlineStr">
        <is>
          <t>Pastikan sesuai kondisi lapangan</t>
        </is>
      </c>
      <c r="W262" t="n">
        <v>0</v>
      </c>
      <c r="AB262" t="inlineStr">
        <is>
          <t>7212030001000100</t>
        </is>
      </c>
      <c r="AC262" t="inlineStr">
        <is>
          <t>APPROVED BY Pengawas</t>
        </is>
      </c>
    </row>
    <row r="263">
      <c r="A263" t="inlineStr">
        <is>
          <t>43fe4a6b-b516-44a5-9c9f-ba1e44ad78fd</t>
        </is>
      </c>
      <c r="B263" t="n">
        <v>72</v>
      </c>
      <c r="C263" t="n">
        <v>12</v>
      </c>
      <c r="D263" t="n">
        <v>30</v>
      </c>
      <c r="E263" t="n">
        <v>1</v>
      </c>
      <c r="F263" t="n">
        <v>3</v>
      </c>
      <c r="G263" t="n">
        <v>0</v>
      </c>
      <c r="H263" t="n">
        <v>28102618</v>
      </c>
      <c r="I263" t="n">
        <v>10794</v>
      </c>
      <c r="J263" t="inlineStr">
        <is>
          <t>Industri Kerupuk, Keripik, Peyek, dan Sejenisnya</t>
        </is>
      </c>
      <c r="M263" t="inlineStr">
        <is>
          <t>MARLIN MERONDA</t>
        </is>
      </c>
      <c r="N263" t="inlineStr">
        <is>
          <t>DESA DOLUPO KARYA</t>
        </is>
      </c>
      <c r="Q263" t="inlineStr">
        <is>
          <t>0. Tidak Ditemukan</t>
        </is>
      </c>
      <c r="R263" t="n">
        <v>0</v>
      </c>
      <c r="V263" t="inlineStr">
        <is>
          <t>Pastikan sesuai kondisi lapangan</t>
        </is>
      </c>
      <c r="W263" t="n">
        <v>0</v>
      </c>
      <c r="AB263" t="inlineStr">
        <is>
          <t>7212030001000300</t>
        </is>
      </c>
      <c r="AC263" t="inlineStr">
        <is>
          <t>APPROVED BY Pengawas</t>
        </is>
      </c>
    </row>
    <row r="264">
      <c r="A264" t="inlineStr">
        <is>
          <t>dd3bc311-255e-4473-a1a1-6ffed892bd76</t>
        </is>
      </c>
      <c r="B264" t="n">
        <v>72</v>
      </c>
      <c r="C264" t="n">
        <v>12</v>
      </c>
      <c r="D264" t="n">
        <v>30</v>
      </c>
      <c r="E264" t="n">
        <v>1</v>
      </c>
      <c r="F264" t="n">
        <v>3</v>
      </c>
      <c r="G264" t="n">
        <v>0</v>
      </c>
      <c r="H264" t="n">
        <v>28102618</v>
      </c>
      <c r="I264" t="n">
        <v>10794</v>
      </c>
      <c r="J264" t="inlineStr">
        <is>
          <t>Industri Kerupuk, Keripik, Peyek, dan Sejenisnya</t>
        </is>
      </c>
      <c r="K264" t="n">
        <v>1291</v>
      </c>
      <c r="L264" t="inlineStr">
        <is>
          <t>Pertanian Pohon Karet dan Tanaman Penghasil Getah Lainnya</t>
        </is>
      </c>
      <c r="M264" t="inlineStr">
        <is>
          <t xml:space="preserve">MENYADAP KEBUN KARET </t>
        </is>
      </c>
      <c r="N264" t="inlineStr">
        <is>
          <t>JALAN DUSUN 2 -</t>
        </is>
      </c>
      <c r="O264" t="inlineStr">
        <is>
          <t>HANS FRISNO PAMONA</t>
        </is>
      </c>
      <c r="Q264" t="inlineStr">
        <is>
          <t>2. Baru</t>
        </is>
      </c>
      <c r="R264" t="n">
        <v>2</v>
      </c>
      <c r="V264" t="inlineStr">
        <is>
          <t>Pastikan kode KBLI sesuai dengan kode KBLI cakupan BPOM yang tertera dalam buku Pedoman</t>
        </is>
      </c>
      <c r="W264" t="n">
        <v>0</v>
      </c>
      <c r="AB264" t="inlineStr">
        <is>
          <t>7212030001000300</t>
        </is>
      </c>
      <c r="AC264" t="inlineStr">
        <is>
          <t>APPROVED BY Pengawas</t>
        </is>
      </c>
    </row>
    <row r="265">
      <c r="A265" t="inlineStr">
        <is>
          <t>3ecbc333-ef22-4b35-bacc-8fa5775c5cb8</t>
        </is>
      </c>
      <c r="B265" t="n">
        <v>72</v>
      </c>
      <c r="C265" t="n">
        <v>12</v>
      </c>
      <c r="D265" t="n">
        <v>30</v>
      </c>
      <c r="E265" t="n">
        <v>1</v>
      </c>
      <c r="F265" t="n">
        <v>3</v>
      </c>
      <c r="G265" t="n">
        <v>0</v>
      </c>
      <c r="H265" t="n">
        <v>28102618</v>
      </c>
      <c r="I265" t="n">
        <v>10794</v>
      </c>
      <c r="J265" t="inlineStr">
        <is>
          <t>Industri Kerupuk, Keripik, Peyek, dan Sejenisnya</t>
        </is>
      </c>
      <c r="K265" t="n">
        <v>1291</v>
      </c>
      <c r="L265" t="inlineStr">
        <is>
          <t>Pertanian Pohon Karet dan Tanaman Penghasil Getah Lainnya</t>
        </is>
      </c>
      <c r="M265" t="inlineStr">
        <is>
          <t xml:space="preserve">MENYADAP KEBUN KARET </t>
        </is>
      </c>
      <c r="N265" t="inlineStr">
        <is>
          <t>JALAN DUSUN 2 -</t>
        </is>
      </c>
      <c r="O265" t="inlineStr">
        <is>
          <t>RAFLES WOSO</t>
        </is>
      </c>
      <c r="Q265" t="inlineStr">
        <is>
          <t>2. Baru</t>
        </is>
      </c>
      <c r="R265" t="n">
        <v>2</v>
      </c>
      <c r="V265" t="inlineStr">
        <is>
          <t>Pastikan kode KBLI sesuai dengan kode KBLI cakupan BPOM yang tertera dalam buku Pedoman</t>
        </is>
      </c>
      <c r="W265" t="n">
        <v>0</v>
      </c>
      <c r="AB265" t="inlineStr">
        <is>
          <t>7212030001000300</t>
        </is>
      </c>
      <c r="AC265" t="inlineStr">
        <is>
          <t>APPROVED BY Pengawas</t>
        </is>
      </c>
    </row>
    <row r="266">
      <c r="A266" t="inlineStr">
        <is>
          <t>c3c89af6-4ccf-4289-be47-9d7bedc206d4</t>
        </is>
      </c>
      <c r="B266" t="n">
        <v>72</v>
      </c>
      <c r="C266" t="n">
        <v>12</v>
      </c>
      <c r="D266" t="n">
        <v>30</v>
      </c>
      <c r="E266" t="n">
        <v>1</v>
      </c>
      <c r="F266" t="n">
        <v>3</v>
      </c>
      <c r="G266" t="n">
        <v>0</v>
      </c>
      <c r="H266" t="n">
        <v>28102618</v>
      </c>
      <c r="I266" t="n">
        <v>10794</v>
      </c>
      <c r="J266" t="inlineStr">
        <is>
          <t>Industri Kerupuk, Keripik, Peyek, dan Sejenisnya</t>
        </is>
      </c>
      <c r="K266" t="n">
        <v>1291</v>
      </c>
      <c r="L266" t="inlineStr">
        <is>
          <t>Pertanian Pohon Karet dan Tanaman Penghasil Getah Lainnya</t>
        </is>
      </c>
      <c r="M266" t="inlineStr">
        <is>
          <t xml:space="preserve">MENYADAP KEBUN KARET </t>
        </is>
      </c>
      <c r="N266" t="inlineStr">
        <is>
          <t>JALAN DUSUN 2 -</t>
        </is>
      </c>
      <c r="O266" t="inlineStr">
        <is>
          <t>MAX APEN BERT WOSO</t>
        </is>
      </c>
      <c r="Q266" t="inlineStr">
        <is>
          <t>2. Baru</t>
        </is>
      </c>
      <c r="R266" t="n">
        <v>2</v>
      </c>
      <c r="V266" t="inlineStr">
        <is>
          <t>Pastikan kode KBLI sesuai dengan kode KBLI cakupan BPOM yang tertera dalam buku Pedoman</t>
        </is>
      </c>
      <c r="W266" t="n">
        <v>0</v>
      </c>
      <c r="AB266" t="inlineStr">
        <is>
          <t>7212030001000300</t>
        </is>
      </c>
      <c r="AC266" t="inlineStr">
        <is>
          <t>APPROVED BY Pengawas</t>
        </is>
      </c>
    </row>
    <row r="267">
      <c r="A267" t="inlineStr">
        <is>
          <t>43578713-c6fc-4477-9492-067ad5259e9c</t>
        </is>
      </c>
      <c r="B267" t="n">
        <v>72</v>
      </c>
      <c r="C267" t="n">
        <v>12</v>
      </c>
      <c r="D267" t="n">
        <v>30</v>
      </c>
      <c r="E267" t="n">
        <v>1</v>
      </c>
      <c r="F267" t="n">
        <v>3</v>
      </c>
      <c r="G267" t="n">
        <v>0</v>
      </c>
      <c r="H267" t="n">
        <v>28102618</v>
      </c>
      <c r="I267" t="n">
        <v>10794</v>
      </c>
      <c r="J267" t="inlineStr">
        <is>
          <t>Industri Kerupuk, Keripik, Peyek, dan Sejenisnya</t>
        </is>
      </c>
      <c r="K267" t="n">
        <v>1291</v>
      </c>
      <c r="L267" t="inlineStr">
        <is>
          <t>Pertanian Pohon Karet dan Tanaman Penghasil Getah Lainnya</t>
        </is>
      </c>
      <c r="M267" t="inlineStr">
        <is>
          <t xml:space="preserve">MENYADAP KEBUN KARET </t>
        </is>
      </c>
      <c r="N267" t="inlineStr">
        <is>
          <t>JALAN DUSUN 2 -</t>
        </is>
      </c>
      <c r="O267" t="inlineStr">
        <is>
          <t>NELIUS MBAEYOWO</t>
        </is>
      </c>
      <c r="Q267" t="inlineStr">
        <is>
          <t>2. Baru</t>
        </is>
      </c>
      <c r="R267" t="n">
        <v>2</v>
      </c>
      <c r="V267" t="inlineStr">
        <is>
          <t>Pastikan kode KBLI sesuai dengan kode KBLI cakupan BPOM yang tertera dalam buku Pedoman</t>
        </is>
      </c>
      <c r="W267" t="n">
        <v>0</v>
      </c>
      <c r="AB267" t="inlineStr">
        <is>
          <t>7212030001000300</t>
        </is>
      </c>
      <c r="AC267" t="inlineStr">
        <is>
          <t>APPROVED BY Pengawas</t>
        </is>
      </c>
    </row>
    <row r="268">
      <c r="A268" t="inlineStr">
        <is>
          <t>7e4567ca-f41c-4108-a378-5eeba15f59cc</t>
        </is>
      </c>
      <c r="B268" t="n">
        <v>72</v>
      </c>
      <c r="C268" t="n">
        <v>12</v>
      </c>
      <c r="D268" t="n">
        <v>30</v>
      </c>
      <c r="E268" t="n">
        <v>1</v>
      </c>
      <c r="F268" t="n">
        <v>3</v>
      </c>
      <c r="G268" t="n">
        <v>0</v>
      </c>
      <c r="H268" t="n">
        <v>28102618</v>
      </c>
      <c r="I268" t="n">
        <v>10794</v>
      </c>
      <c r="J268" t="inlineStr">
        <is>
          <t>Industri Kerupuk, Keripik, Peyek, dan Sejenisnya</t>
        </is>
      </c>
      <c r="K268" t="n">
        <v>1291</v>
      </c>
      <c r="L268" t="inlineStr">
        <is>
          <t>Pertanian Pohon Karet dan Tanaman Penghasil Getah Lainnya</t>
        </is>
      </c>
      <c r="M268" t="inlineStr">
        <is>
          <t xml:space="preserve">MENYADAP KEBUN KARET </t>
        </is>
      </c>
      <c r="N268" t="inlineStr">
        <is>
          <t>JALAN DUSUN 2 -</t>
        </is>
      </c>
      <c r="O268" t="inlineStr">
        <is>
          <t>NI MADE SULASTRI</t>
        </is>
      </c>
      <c r="Q268" t="inlineStr">
        <is>
          <t>2. Baru</t>
        </is>
      </c>
      <c r="R268" t="n">
        <v>2</v>
      </c>
      <c r="V268" t="inlineStr">
        <is>
          <t>Pastikan kode KBLI sesuai dengan kode KBLI cakupan BPOM yang tertera dalam buku Pedoman</t>
        </is>
      </c>
      <c r="W268" t="n">
        <v>0</v>
      </c>
      <c r="AB268" t="inlineStr">
        <is>
          <t>7212030001000300</t>
        </is>
      </c>
      <c r="AC268" t="inlineStr">
        <is>
          <t>APPROVED BY Pengawas</t>
        </is>
      </c>
    </row>
    <row r="269">
      <c r="A269" t="inlineStr">
        <is>
          <t>dc4bc7d2-dad3-466a-a879-038b7e52fcc4</t>
        </is>
      </c>
      <c r="B269" t="n">
        <v>72</v>
      </c>
      <c r="C269" t="n">
        <v>12</v>
      </c>
      <c r="D269" t="n">
        <v>30</v>
      </c>
      <c r="E269" t="n">
        <v>1</v>
      </c>
      <c r="F269" t="n">
        <v>4</v>
      </c>
      <c r="G269" t="n">
        <v>0</v>
      </c>
      <c r="H269" t="n">
        <v>32058889</v>
      </c>
      <c r="I269" t="n">
        <v>10794</v>
      </c>
      <c r="J269" t="inlineStr">
        <is>
          <t>Industri Kerupuk, Keripik, Peyek, dan Sejenisnya</t>
        </is>
      </c>
      <c r="M269" t="inlineStr">
        <is>
          <t>I GEDE PARJANA</t>
        </is>
      </c>
      <c r="N269" t="inlineStr">
        <is>
          <t>DOLUPOKARYA</t>
        </is>
      </c>
      <c r="Q269" t="inlineStr">
        <is>
          <t>0. Tidak Ditemukan</t>
        </is>
      </c>
      <c r="R269" t="n">
        <v>0</v>
      </c>
      <c r="V269" t="inlineStr">
        <is>
          <t>Pastikan sesuai kondisi lapangan</t>
        </is>
      </c>
      <c r="W269" t="n">
        <v>0</v>
      </c>
      <c r="AB269" t="inlineStr">
        <is>
          <t>7212030001000400</t>
        </is>
      </c>
      <c r="AC269" t="inlineStr">
        <is>
          <t>APPROVED BY Pengawas</t>
        </is>
      </c>
    </row>
    <row r="270">
      <c r="A270" t="inlineStr">
        <is>
          <t>7a12af4b-7469-45c9-a7c2-01665d90d365</t>
        </is>
      </c>
      <c r="B270" t="n">
        <v>72</v>
      </c>
      <c r="C270" t="n">
        <v>12</v>
      </c>
      <c r="D270" t="n">
        <v>50</v>
      </c>
      <c r="E270" t="n">
        <v>2</v>
      </c>
      <c r="F270" t="n">
        <v>1</v>
      </c>
      <c r="G270" t="n">
        <v>0</v>
      </c>
      <c r="H270" t="n">
        <v>26771158</v>
      </c>
      <c r="I270" t="n">
        <v>10710</v>
      </c>
      <c r="J270" t="inlineStr">
        <is>
          <t>Industri Produk Bakeri</t>
        </is>
      </c>
      <c r="M270" t="inlineStr">
        <is>
          <t>RANILIYESNI LUMBO</t>
        </is>
      </c>
      <c r="N270" t="inlineStr">
        <is>
          <t>KOROLOLAMA</t>
        </is>
      </c>
      <c r="Q270" t="inlineStr">
        <is>
          <t>0. Tidak Ditemukan</t>
        </is>
      </c>
      <c r="R270" t="n">
        <v>0</v>
      </c>
      <c r="V270" t="inlineStr">
        <is>
          <t>Pastikan sesuai kondisi lapangan</t>
        </is>
      </c>
      <c r="W270" t="n">
        <v>0</v>
      </c>
      <c r="AB270" t="inlineStr">
        <is>
          <t>7212050002000100</t>
        </is>
      </c>
      <c r="AC270" t="inlineStr">
        <is>
          <t>SUBMITTED BY Pencacah</t>
        </is>
      </c>
    </row>
    <row r="271">
      <c r="A271" t="inlineStr">
        <is>
          <t>c394510c-ecbc-43d8-b472-d13acb689fda</t>
        </is>
      </c>
      <c r="B271" t="n">
        <v>72</v>
      </c>
      <c r="C271" t="n">
        <v>12</v>
      </c>
      <c r="D271" t="n">
        <v>50</v>
      </c>
      <c r="E271" t="n">
        <v>3</v>
      </c>
      <c r="F271" t="n">
        <v>7</v>
      </c>
      <c r="G271" t="n">
        <v>0</v>
      </c>
      <c r="H271" t="n">
        <v>16757812</v>
      </c>
      <c r="M271" t="inlineStr">
        <is>
          <t>KARYA MANDIRI GUMILANG</t>
        </is>
      </c>
      <c r="N271" t="inlineStr">
        <is>
          <t>Jl tinombo kp. Bugis</t>
        </is>
      </c>
      <c r="Q271" t="inlineStr">
        <is>
          <t>0. Tidak Ditemukan</t>
        </is>
      </c>
      <c r="R271" t="n">
        <v>0</v>
      </c>
      <c r="V271" t="inlineStr">
        <is>
          <t>Pastikan sesuai kondisi lapangan</t>
        </is>
      </c>
      <c r="W271" t="n">
        <v>0</v>
      </c>
      <c r="AB271" t="inlineStr">
        <is>
          <t>7212050003000700</t>
        </is>
      </c>
      <c r="AC271" t="inlineStr">
        <is>
          <t>APPROVED BY Pengawas</t>
        </is>
      </c>
    </row>
    <row r="272">
      <c r="A272" t="inlineStr">
        <is>
          <t>221a68e7-e75b-4397-b2f4-20cba81f007d</t>
        </is>
      </c>
      <c r="B272" t="n">
        <v>72</v>
      </c>
      <c r="C272" t="n">
        <v>12</v>
      </c>
      <c r="D272" t="n">
        <v>50</v>
      </c>
      <c r="E272" t="n">
        <v>8</v>
      </c>
      <c r="F272" t="n">
        <v>2</v>
      </c>
      <c r="G272" t="n">
        <v>0</v>
      </c>
      <c r="H272" t="n">
        <v>42805623</v>
      </c>
      <c r="I272" t="n">
        <v>10615</v>
      </c>
      <c r="J272" t="inlineStr">
        <is>
          <t>Industri Makanan Sereal</t>
        </is>
      </c>
      <c r="M272" t="inlineStr">
        <is>
          <t>MORI CENTRE INDUSTRI</t>
        </is>
      </c>
      <c r="N272" t="inlineStr">
        <is>
          <t>KEL.BAHONTULA</t>
        </is>
      </c>
      <c r="Q272" t="inlineStr">
        <is>
          <t>0. Tidak Ditemukan</t>
        </is>
      </c>
      <c r="R272" t="n">
        <v>0</v>
      </c>
      <c r="V272" t="inlineStr">
        <is>
          <t>Pastikan sesuai kondisi lapangan</t>
        </is>
      </c>
      <c r="W272" t="n">
        <v>0</v>
      </c>
      <c r="AB272" t="inlineStr">
        <is>
          <t>7212050008000200</t>
        </is>
      </c>
      <c r="AC272" t="inlineStr">
        <is>
          <t>SUBMITTED BY Pencacah</t>
        </is>
      </c>
    </row>
    <row r="273">
      <c r="A273" t="inlineStr">
        <is>
          <t>9d6559f0-052a-476c-a758-cafd3b16a38e</t>
        </is>
      </c>
      <c r="B273" t="n">
        <v>72</v>
      </c>
      <c r="C273" t="n">
        <v>12</v>
      </c>
      <c r="D273" t="n">
        <v>70</v>
      </c>
      <c r="E273" t="n">
        <v>2</v>
      </c>
      <c r="F273" t="n">
        <v>1001</v>
      </c>
      <c r="G273" t="n">
        <v>0</v>
      </c>
      <c r="H273" t="n">
        <v>30587770</v>
      </c>
      <c r="I273" t="n">
        <v>10303</v>
      </c>
      <c r="J273" t="inlineStr">
        <is>
          <t>Pengeringan Buah-buahan dan Sayuran</t>
        </is>
      </c>
      <c r="M273" t="inlineStr">
        <is>
          <t>Fitagustini palungan</t>
        </is>
      </c>
      <c r="N273" t="inlineStr">
        <is>
          <t>Tabarano</t>
        </is>
      </c>
      <c r="Q273" t="inlineStr">
        <is>
          <t>0. Tidak Ditemukan</t>
        </is>
      </c>
      <c r="R273" t="n">
        <v>0</v>
      </c>
      <c r="V273" t="inlineStr">
        <is>
          <t>Pastikan sesuai kondisi lapangan</t>
        </is>
      </c>
      <c r="W273" t="n">
        <v>0</v>
      </c>
      <c r="AB273" t="inlineStr">
        <is>
          <t>7212070002100100</t>
        </is>
      </c>
      <c r="AC273" t="inlineStr">
        <is>
          <t>APPROVED BY Pengawas</t>
        </is>
      </c>
    </row>
    <row r="274">
      <c r="A274" t="inlineStr">
        <is>
          <t>bf2cc32d-4e40-456d-b160-47083431ca33</t>
        </is>
      </c>
      <c r="B274" t="n">
        <v>72</v>
      </c>
      <c r="C274" t="n">
        <v>12</v>
      </c>
      <c r="D274" t="n">
        <v>70</v>
      </c>
      <c r="E274" t="n">
        <v>4</v>
      </c>
      <c r="F274" t="n">
        <v>1001</v>
      </c>
      <c r="G274" t="n">
        <v>0</v>
      </c>
      <c r="H274" t="n">
        <v>27055904</v>
      </c>
      <c r="I274" t="n">
        <v>10710</v>
      </c>
      <c r="J274" t="inlineStr">
        <is>
          <t>Industri Produk Bakeri</t>
        </is>
      </c>
      <c r="M274" t="inlineStr">
        <is>
          <t>SRI RATNA SARI</t>
        </is>
      </c>
      <c r="N274" t="inlineStr">
        <is>
          <t>DESA LEMBONTONARA</t>
        </is>
      </c>
      <c r="Q274" t="inlineStr">
        <is>
          <t>0. Tidak Ditemukan</t>
        </is>
      </c>
      <c r="R274" t="n">
        <v>0</v>
      </c>
      <c r="V274" t="inlineStr">
        <is>
          <t>Pastikan sesuai kondisi lapangan</t>
        </is>
      </c>
      <c r="W274" t="n">
        <v>0</v>
      </c>
      <c r="AB274" t="inlineStr">
        <is>
          <t>7212070004100100</t>
        </is>
      </c>
      <c r="AC274" t="inlineStr">
        <is>
          <t>APPROVED BY Pengawas</t>
        </is>
      </c>
    </row>
    <row r="275">
      <c r="A275" t="inlineStr">
        <is>
          <t>fec8b3b5-74e2-407c-b8ba-3346c7187b3e</t>
        </is>
      </c>
      <c r="B275" t="n">
        <v>72</v>
      </c>
      <c r="C275" t="n">
        <v>12</v>
      </c>
      <c r="D275" t="n">
        <v>70</v>
      </c>
      <c r="E275" t="n">
        <v>7</v>
      </c>
      <c r="F275" t="n">
        <v>6</v>
      </c>
      <c r="G275" t="n">
        <v>0</v>
      </c>
      <c r="H275" t="n">
        <v>31798592</v>
      </c>
      <c r="I275" t="n">
        <v>10761</v>
      </c>
      <c r="J275" t="inlineStr">
        <is>
          <t>Pengolahan Kopi</t>
        </is>
      </c>
      <c r="M275" t="inlineStr">
        <is>
          <t>RASNAWATIE</t>
        </is>
      </c>
      <c r="N275" t="inlineStr">
        <is>
          <t>DESA PELERU</t>
        </is>
      </c>
      <c r="Q275" t="inlineStr">
        <is>
          <t>0. Tidak Ditemukan</t>
        </is>
      </c>
      <c r="R275" t="n">
        <v>0</v>
      </c>
      <c r="V275" t="inlineStr">
        <is>
          <t>Pastikan sesuai kondisi lapangan</t>
        </is>
      </c>
      <c r="W275" t="n">
        <v>0</v>
      </c>
      <c r="AB275" t="inlineStr">
        <is>
          <t>7212070007000600</t>
        </is>
      </c>
      <c r="AC275" t="inlineStr">
        <is>
          <t>APPROVED BY Pengawas</t>
        </is>
      </c>
    </row>
    <row r="276">
      <c r="A276" t="inlineStr">
        <is>
          <t>761979cf-1237-4141-8d07-f45a4bb3d18f</t>
        </is>
      </c>
      <c r="B276" t="n">
        <v>72</v>
      </c>
      <c r="C276" t="n">
        <v>12</v>
      </c>
      <c r="D276" t="n">
        <v>80</v>
      </c>
      <c r="E276" t="n">
        <v>1</v>
      </c>
      <c r="F276" t="n">
        <v>3</v>
      </c>
      <c r="G276" t="n">
        <v>0</v>
      </c>
      <c r="H276" t="n">
        <v>32080375</v>
      </c>
      <c r="I276" t="n">
        <v>10794</v>
      </c>
      <c r="J276" t="inlineStr">
        <is>
          <t>Industri Kerupuk, Keripik, Peyek, dan Sejenisnya</t>
        </is>
      </c>
      <c r="K276" t="n">
        <v>10794</v>
      </c>
      <c r="L276" t="inlineStr">
        <is>
          <t>Industri Kerupuk, Keripik, Peyek, dan Sejenisnya</t>
        </is>
      </c>
      <c r="M276" t="inlineStr">
        <is>
          <t>KERIPIK PISANG JUSLIANA</t>
        </is>
      </c>
      <c r="N276" t="inlineStr">
        <is>
          <t>JALAN TRANS SULAWESI -</t>
        </is>
      </c>
      <c r="P276" t="inlineStr">
        <is>
          <t>7322**********05</t>
        </is>
      </c>
      <c r="Q276" t="inlineStr">
        <is>
          <t>1. Ditemukan</t>
        </is>
      </c>
      <c r="R276" t="n">
        <v>1</v>
      </c>
      <c r="S276" t="inlineStr">
        <is>
          <t>3. Tidak</t>
        </is>
      </c>
      <c r="U276" t="n">
        <v>1</v>
      </c>
      <c r="W276" t="n">
        <v>1</v>
      </c>
      <c r="AB276" t="inlineStr">
        <is>
          <t>7212080001000300</t>
        </is>
      </c>
      <c r="AC276" t="inlineStr">
        <is>
          <t>APPROVED BY Pengawas</t>
        </is>
      </c>
    </row>
    <row r="277">
      <c r="A277" t="inlineStr">
        <is>
          <t>e560c15f-e63e-4303-92e7-aff45388c70f</t>
        </is>
      </c>
      <c r="B277" t="n">
        <v>72</v>
      </c>
      <c r="C277" t="n">
        <v>12</v>
      </c>
      <c r="D277" t="n">
        <v>100</v>
      </c>
      <c r="E277" t="n">
        <v>6</v>
      </c>
      <c r="F277" t="n">
        <v>4</v>
      </c>
      <c r="G277" t="n">
        <v>0</v>
      </c>
      <c r="H277" t="n">
        <v>26899629</v>
      </c>
      <c r="I277" t="n">
        <v>10710</v>
      </c>
      <c r="J277" t="inlineStr">
        <is>
          <t>Industri Produk Bakeri</t>
        </is>
      </c>
      <c r="M277" t="inlineStr">
        <is>
          <t>ELA NURHAYATI</t>
        </is>
      </c>
      <c r="N277" t="inlineStr">
        <is>
          <t>DESA TANASUMPU</t>
        </is>
      </c>
      <c r="Q277" t="inlineStr">
        <is>
          <t>0. Tidak Ditemukan</t>
        </is>
      </c>
      <c r="R277" t="n">
        <v>0</v>
      </c>
      <c r="V277" t="inlineStr">
        <is>
          <t>Pastikan sesuai kondisi lapangan</t>
        </is>
      </c>
      <c r="W277" t="n">
        <v>0</v>
      </c>
      <c r="AB277" t="inlineStr">
        <is>
          <t>7212100006000400</t>
        </is>
      </c>
      <c r="AC277" t="inlineStr">
        <is>
          <t>SUBMITTED BY Pencacah</t>
        </is>
      </c>
    </row>
    <row r="278">
      <c r="A278" t="inlineStr">
        <is>
          <t>3e0f0bf4-76a8-4be3-a242-af4b9537e734</t>
        </is>
      </c>
      <c r="B278" t="n">
        <v>72</v>
      </c>
      <c r="C278" t="n">
        <v>71</v>
      </c>
      <c r="D278" t="n">
        <v>10</v>
      </c>
      <c r="E278" t="n">
        <v>4</v>
      </c>
      <c r="F278" t="n">
        <v>12</v>
      </c>
      <c r="G278" t="n">
        <v>0</v>
      </c>
      <c r="H278" t="n">
        <v>30870182</v>
      </c>
      <c r="I278" t="n">
        <v>10710</v>
      </c>
      <c r="J278" t="inlineStr">
        <is>
          <t>Industri Produk Bakeri</t>
        </is>
      </c>
      <c r="M278" t="inlineStr">
        <is>
          <t xml:space="preserve">AISAH A. LATIF </t>
        </is>
      </c>
      <c r="N278" t="inlineStr">
        <is>
          <t>JL. S. LONTI NO. 56 PALU</t>
        </is>
      </c>
      <c r="Q278" t="inlineStr">
        <is>
          <t>0. Tidak Ditemukan</t>
        </is>
      </c>
      <c r="R278" t="n">
        <v>0</v>
      </c>
      <c r="V278" t="inlineStr">
        <is>
          <t>Pastikan sesuai kondisi lapangan</t>
        </is>
      </c>
      <c r="W278" t="n">
        <v>0</v>
      </c>
      <c r="AB278" t="inlineStr">
        <is>
          <t>7271010004001200</t>
        </is>
      </c>
      <c r="AC278" t="inlineStr">
        <is>
          <t>APPROVED BY Pengawas</t>
        </is>
      </c>
    </row>
    <row r="279">
      <c r="A279" t="inlineStr">
        <is>
          <t>9ec6ee9a-071d-4897-8e61-0502fff6b1da</t>
        </is>
      </c>
      <c r="B279" t="n">
        <v>72</v>
      </c>
      <c r="C279" t="n">
        <v>71</v>
      </c>
      <c r="D279" t="n">
        <v>10</v>
      </c>
      <c r="E279" t="n">
        <v>5</v>
      </c>
      <c r="F279" t="n">
        <v>15</v>
      </c>
      <c r="G279" t="n">
        <v>0</v>
      </c>
      <c r="H279" t="n">
        <v>26586725</v>
      </c>
      <c r="I279" t="n">
        <v>10779</v>
      </c>
      <c r="J279" t="inlineStr">
        <is>
          <t>Industri Bumbu Masakan Lainnya</t>
        </is>
      </c>
      <c r="M279" t="inlineStr">
        <is>
          <t>SA'DIA DJIBRAN</t>
        </is>
      </c>
      <c r="N279" t="inlineStr">
        <is>
          <t>JL. KH. MAS MANSYUR NO. 67</t>
        </is>
      </c>
      <c r="Q279" t="inlineStr">
        <is>
          <t>0. Tidak Ditemukan</t>
        </is>
      </c>
      <c r="R279" t="n">
        <v>0</v>
      </c>
      <c r="V279" t="inlineStr">
        <is>
          <t>Pastikan sesuai kondisi lapangan</t>
        </is>
      </c>
      <c r="W279" t="n">
        <v>0</v>
      </c>
      <c r="AB279" t="inlineStr">
        <is>
          <t>7271010005001500</t>
        </is>
      </c>
      <c r="AC279" t="inlineStr">
        <is>
          <t>APPROVED BY Pengawas</t>
        </is>
      </c>
    </row>
    <row r="280">
      <c r="A280" t="inlineStr">
        <is>
          <t>8c3e0450-24d1-40b1-a851-b67ee1c39a1d</t>
        </is>
      </c>
      <c r="B280" t="n">
        <v>72</v>
      </c>
      <c r="C280" t="n">
        <v>71</v>
      </c>
      <c r="D280" t="n">
        <v>10</v>
      </c>
      <c r="E280" t="n">
        <v>6</v>
      </c>
      <c r="F280" t="n">
        <v>1</v>
      </c>
      <c r="G280" t="n">
        <v>3</v>
      </c>
      <c r="H280" t="n">
        <v>26045831</v>
      </c>
      <c r="I280" t="n">
        <v>10303</v>
      </c>
      <c r="J280" t="inlineStr">
        <is>
          <t>Pengeringan Buah-buahan dan Sayuran</t>
        </is>
      </c>
      <c r="K280" t="n">
        <v>47112</v>
      </c>
      <c r="L280" t="inlineStr">
        <is>
          <t>Perdagangan Eceran Berbagai Macam Barang yang Utamanya Makanan, Minuman, atau Tembakau Selain dengan Sistem Swalayan</t>
        </is>
      </c>
      <c r="M280" t="inlineStr">
        <is>
          <t>KIOS SAKIDJO</t>
        </is>
      </c>
      <c r="N280" t="inlineStr">
        <is>
          <t>JL. DANAU LINDU 8 F</t>
        </is>
      </c>
      <c r="O280" t="inlineStr">
        <is>
          <t>SAKIDJO</t>
        </is>
      </c>
      <c r="Q280" t="inlineStr">
        <is>
          <t>2. Baru</t>
        </is>
      </c>
      <c r="R280" t="n">
        <v>2</v>
      </c>
      <c r="V280" t="inlineStr">
        <is>
          <t>Pastikan kode KBLI sesuai dengan kode KBLI cakupan BPOM yang tertera dalam buku Pedoman</t>
        </is>
      </c>
      <c r="W280" t="n">
        <v>1</v>
      </c>
      <c r="AB280" t="inlineStr">
        <is>
          <t>7271010006000103</t>
        </is>
      </c>
      <c r="AC280" t="inlineStr">
        <is>
          <t>SUBMITTED BY Pencacah</t>
        </is>
      </c>
    </row>
    <row r="281">
      <c r="A281" t="inlineStr">
        <is>
          <t>ae11a5f4-fe87-4b23-a4c4-1c59d343e336</t>
        </is>
      </c>
      <c r="B281" t="n">
        <v>72</v>
      </c>
      <c r="C281" t="n">
        <v>71</v>
      </c>
      <c r="D281" t="n">
        <v>10</v>
      </c>
      <c r="E281" t="n">
        <v>6</v>
      </c>
      <c r="F281" t="n">
        <v>1</v>
      </c>
      <c r="G281" t="n">
        <v>3</v>
      </c>
      <c r="H281" t="n">
        <v>26045831</v>
      </c>
      <c r="I281" t="n">
        <v>10303</v>
      </c>
      <c r="J281" t="inlineStr">
        <is>
          <t>Pengeringan Buah-buahan dan Sayuran</t>
        </is>
      </c>
      <c r="K281" t="n">
        <v>47112</v>
      </c>
      <c r="L281" t="inlineStr">
        <is>
          <t>Perdagangan Eceran Berbagai Macam Barang yang Utamanya Makanan, Minuman, atau Tembakau Selain dengan Sistem Swalayan</t>
        </is>
      </c>
      <c r="M281" t="inlineStr">
        <is>
          <t>KIOS QUINNSHA</t>
        </is>
      </c>
      <c r="N281" t="inlineStr">
        <is>
          <t>JL. DANAU LINDU -</t>
        </is>
      </c>
      <c r="O281" t="inlineStr">
        <is>
          <t>MULYADI</t>
        </is>
      </c>
      <c r="Q281" t="inlineStr">
        <is>
          <t>2. Baru</t>
        </is>
      </c>
      <c r="R281" t="n">
        <v>2</v>
      </c>
      <c r="V281" t="inlineStr">
        <is>
          <t>Pastikan kode KBLI sesuai dengan kode KBLI cakupan BPOM yang tertera dalam buku Pedoman</t>
        </is>
      </c>
      <c r="W281" t="n">
        <v>1</v>
      </c>
      <c r="AB281" t="inlineStr">
        <is>
          <t>7271010006000103</t>
        </is>
      </c>
      <c r="AC281" t="inlineStr">
        <is>
          <t>SUBMITTED BY Pencacah</t>
        </is>
      </c>
    </row>
    <row r="282">
      <c r="A282" t="inlineStr">
        <is>
          <t>d8c4ea57-5473-406c-b89d-dbdf6660dfbc</t>
        </is>
      </c>
      <c r="B282" t="n">
        <v>72</v>
      </c>
      <c r="C282" t="n">
        <v>71</v>
      </c>
      <c r="D282" t="n">
        <v>10</v>
      </c>
      <c r="E282" t="n">
        <v>6</v>
      </c>
      <c r="F282" t="n">
        <v>4</v>
      </c>
      <c r="G282" t="n">
        <v>0</v>
      </c>
      <c r="H282" t="n">
        <v>28758035</v>
      </c>
      <c r="I282" t="n">
        <v>10710</v>
      </c>
      <c r="J282" t="inlineStr">
        <is>
          <t>Industri Produk Bakeri</t>
        </is>
      </c>
      <c r="K282" t="n">
        <v>10614</v>
      </c>
      <c r="L282" t="inlineStr">
        <is>
          <t>Industri Tepung Campuran dan Adonan Tepung</t>
        </is>
      </c>
      <c r="M282" t="inlineStr">
        <is>
          <t xml:space="preserve">ADIFA COOKIES </t>
        </is>
      </c>
      <c r="N282" t="inlineStr">
        <is>
          <t>JL. DANAU TALAGA LR. 1</t>
        </is>
      </c>
      <c r="O282" t="inlineStr">
        <is>
          <t>VIVI ADRIANTI</t>
        </is>
      </c>
      <c r="Q282" t="inlineStr">
        <is>
          <t>2. Baru</t>
        </is>
      </c>
      <c r="R282" t="n">
        <v>2</v>
      </c>
      <c r="S282" t="inlineStr">
        <is>
          <t>3. Tidak</t>
        </is>
      </c>
      <c r="U282" t="n">
        <v>2</v>
      </c>
      <c r="W282" t="n">
        <v>1</v>
      </c>
      <c r="AB282" t="inlineStr">
        <is>
          <t>7271010006000400</t>
        </is>
      </c>
      <c r="AC282" t="inlineStr">
        <is>
          <t>SUBMITTED BY Pencacah</t>
        </is>
      </c>
    </row>
    <row r="283">
      <c r="A283" t="inlineStr">
        <is>
          <t>962bfded-fb7b-4eec-bc65-220e9c5de898</t>
        </is>
      </c>
      <c r="B283" t="n">
        <v>72</v>
      </c>
      <c r="C283" t="n">
        <v>71</v>
      </c>
      <c r="D283" t="n">
        <v>10</v>
      </c>
      <c r="E283" t="n">
        <v>6</v>
      </c>
      <c r="F283" t="n">
        <v>12</v>
      </c>
      <c r="G283" t="n">
        <v>0</v>
      </c>
      <c r="H283" t="n">
        <v>32408752</v>
      </c>
      <c r="I283" t="n">
        <v>11059</v>
      </c>
      <c r="J283" t="inlineStr">
        <is>
          <t>Industri Minuman Lainnya</t>
        </is>
      </c>
      <c r="K283" t="n">
        <v>47249</v>
      </c>
      <c r="L283" t="inlineStr">
        <is>
          <t>Perdagangan Eceran Makanan Lainnya</t>
        </is>
      </c>
      <c r="M283" t="inlineStr">
        <is>
          <t>KRIPIK KARLINA</t>
        </is>
      </c>
      <c r="N283" t="inlineStr">
        <is>
          <t>JALAN JERUK</t>
        </is>
      </c>
      <c r="P283" t="inlineStr">
        <is>
          <t>7271**********03</t>
        </is>
      </c>
      <c r="Q283" t="inlineStr">
        <is>
          <t>1. Ditemukan</t>
        </is>
      </c>
      <c r="R283" t="n">
        <v>1</v>
      </c>
      <c r="V283" t="inlineStr">
        <is>
          <t>Pastikan kode KBLI sesuai dengan kode KBLI cakupan BPOM yang tertera dalam buku Pedoman</t>
        </is>
      </c>
      <c r="W283" t="n">
        <v>1</v>
      </c>
      <c r="AB283" t="inlineStr">
        <is>
          <t>7271010006001200</t>
        </is>
      </c>
      <c r="AC283" t="inlineStr">
        <is>
          <t>SUBMITTED BY Pencacah</t>
        </is>
      </c>
    </row>
    <row r="284">
      <c r="A284" t="inlineStr">
        <is>
          <t>7801da96-4e88-4b8a-9b3a-895178af8688</t>
        </is>
      </c>
      <c r="B284" t="n">
        <v>72</v>
      </c>
      <c r="C284" t="n">
        <v>71</v>
      </c>
      <c r="D284" t="n">
        <v>10</v>
      </c>
      <c r="E284" t="n">
        <v>7</v>
      </c>
      <c r="F284" t="n">
        <v>3</v>
      </c>
      <c r="G284" t="n">
        <v>2</v>
      </c>
      <c r="H284" t="n">
        <v>30215029</v>
      </c>
      <c r="I284" t="n">
        <v>10710</v>
      </c>
      <c r="J284" t="inlineStr">
        <is>
          <t>Industri Produk Bakeri</t>
        </is>
      </c>
      <c r="M284" t="inlineStr">
        <is>
          <t>ANDI NURWANA</t>
        </is>
      </c>
      <c r="N284" t="inlineStr">
        <is>
          <t xml:space="preserve">JL.DURIAN NO.27 </t>
        </is>
      </c>
      <c r="Q284" t="inlineStr">
        <is>
          <t>0. Tidak Ditemukan</t>
        </is>
      </c>
      <c r="R284" t="n">
        <v>0</v>
      </c>
      <c r="V284" t="inlineStr">
        <is>
          <t>Pastikan sesuai kondisi lapangan</t>
        </is>
      </c>
      <c r="W284" t="n">
        <v>0</v>
      </c>
      <c r="AB284" t="inlineStr">
        <is>
          <t>7271010007000302</t>
        </is>
      </c>
      <c r="AC284" t="inlineStr">
        <is>
          <t>APPROVED BY Pengawas</t>
        </is>
      </c>
    </row>
    <row r="285">
      <c r="A285" t="inlineStr">
        <is>
          <t>a3c93578-0411-46c8-8610-b8a2e1247b18</t>
        </is>
      </c>
      <c r="B285" t="n">
        <v>72</v>
      </c>
      <c r="C285" t="n">
        <v>71</v>
      </c>
      <c r="D285" t="n">
        <v>10</v>
      </c>
      <c r="E285" t="n">
        <v>11</v>
      </c>
      <c r="F285" t="n">
        <v>32</v>
      </c>
      <c r="G285" t="n">
        <v>3</v>
      </c>
      <c r="H285" t="n">
        <v>28720638</v>
      </c>
      <c r="I285" t="n">
        <v>10779</v>
      </c>
      <c r="J285" t="inlineStr">
        <is>
          <t>Industri Bumbu Masakan Lainnya</t>
        </is>
      </c>
      <c r="M285" t="inlineStr">
        <is>
          <t>SRIWAHYUNINGSI. M</t>
        </is>
      </c>
      <c r="N285" t="inlineStr">
        <is>
          <t>JL. ASAM II LRG I PALU</t>
        </is>
      </c>
      <c r="Q285" t="inlineStr">
        <is>
          <t>0. Tidak Ditemukan</t>
        </is>
      </c>
      <c r="R285" t="n">
        <v>0</v>
      </c>
      <c r="V285" t="inlineStr">
        <is>
          <t>Pastikan sesuai kondisi lapangan</t>
        </is>
      </c>
      <c r="W285" t="n">
        <v>0</v>
      </c>
      <c r="AB285" t="inlineStr">
        <is>
          <t>7271010011003203</t>
        </is>
      </c>
      <c r="AC285" t="inlineStr">
        <is>
          <t>APPROVED BY Pengawas</t>
        </is>
      </c>
    </row>
    <row r="286">
      <c r="A286" t="inlineStr">
        <is>
          <t>db50d07a-ba65-4a6f-b5c6-b57290ac3036</t>
        </is>
      </c>
      <c r="B286" t="n">
        <v>72</v>
      </c>
      <c r="C286" t="n">
        <v>71</v>
      </c>
      <c r="D286" t="n">
        <v>11</v>
      </c>
      <c r="E286" t="n">
        <v>1</v>
      </c>
      <c r="F286" t="n">
        <v>23</v>
      </c>
      <c r="G286" t="n">
        <v>1</v>
      </c>
      <c r="H286" t="n">
        <v>31463115</v>
      </c>
      <c r="I286" t="n">
        <v>10710</v>
      </c>
      <c r="J286" t="inlineStr">
        <is>
          <t>Industri Produk Bakeri</t>
        </is>
      </c>
      <c r="M286" t="inlineStr">
        <is>
          <t>SURIYANA RASAK</t>
        </is>
      </c>
      <c r="N286" t="inlineStr">
        <is>
          <t xml:space="preserve">JL. CEMANGI LRG. III </t>
        </is>
      </c>
      <c r="Q286" t="inlineStr">
        <is>
          <t>0. Tidak Ditemukan</t>
        </is>
      </c>
      <c r="R286" t="n">
        <v>0</v>
      </c>
      <c r="V286" t="inlineStr">
        <is>
          <t>Pastikan sesuai kondisi lapangan</t>
        </is>
      </c>
      <c r="W286" t="n">
        <v>0</v>
      </c>
      <c r="AB286" t="inlineStr">
        <is>
          <t>7271011001002301</t>
        </is>
      </c>
      <c r="AC286" t="inlineStr">
        <is>
          <t>APPROVED BY Pengawas</t>
        </is>
      </c>
    </row>
    <row r="287">
      <c r="A287" t="inlineStr">
        <is>
          <t>707fcd83-02d2-40b0-8251-4be78f55a5bb</t>
        </is>
      </c>
      <c r="B287" t="n">
        <v>72</v>
      </c>
      <c r="C287" t="n">
        <v>71</v>
      </c>
      <c r="D287" t="n">
        <v>11</v>
      </c>
      <c r="E287" t="n">
        <v>1</v>
      </c>
      <c r="F287" t="n">
        <v>24</v>
      </c>
      <c r="G287" t="n">
        <v>2</v>
      </c>
      <c r="H287" t="n">
        <v>28399913</v>
      </c>
      <c r="I287" t="n">
        <v>10794</v>
      </c>
      <c r="J287" t="inlineStr">
        <is>
          <t>Industri Kerupuk, Keripik, Peyek, dan Sejenisnya</t>
        </is>
      </c>
      <c r="M287" t="inlineStr">
        <is>
          <t>MUHAMAD YANI</t>
        </is>
      </c>
      <c r="N287" t="inlineStr">
        <is>
          <t>JL. TAGARI LONJO BTN ASRI PERMAI BLOK B2 PALU</t>
        </is>
      </c>
      <c r="Q287" t="inlineStr">
        <is>
          <t>0. Tidak Ditemukan</t>
        </is>
      </c>
      <c r="R287" t="n">
        <v>0</v>
      </c>
      <c r="V287" t="inlineStr">
        <is>
          <t>Pastikan sesuai kondisi lapangan</t>
        </is>
      </c>
      <c r="W287" t="n">
        <v>0</v>
      </c>
      <c r="AB287" t="inlineStr">
        <is>
          <t>7271011001002402</t>
        </is>
      </c>
      <c r="AC287" t="inlineStr">
        <is>
          <t>APPROVED BY Pengawas</t>
        </is>
      </c>
    </row>
    <row r="288">
      <c r="A288" t="inlineStr">
        <is>
          <t>a4ea25f2-12e4-407a-a952-180f7a7f9fa2</t>
        </is>
      </c>
      <c r="B288" t="n">
        <v>72</v>
      </c>
      <c r="C288" t="n">
        <v>71</v>
      </c>
      <c r="D288" t="n">
        <v>11</v>
      </c>
      <c r="E288" t="n">
        <v>1</v>
      </c>
      <c r="F288" t="n">
        <v>24</v>
      </c>
      <c r="G288" t="n">
        <v>2</v>
      </c>
      <c r="H288" t="n">
        <v>26900654</v>
      </c>
      <c r="I288" t="n">
        <v>10750</v>
      </c>
      <c r="J288" t="inlineStr">
        <is>
          <t>Industri Makanan dan Masakan Olahan</t>
        </is>
      </c>
      <c r="M288" t="inlineStr">
        <is>
          <t xml:space="preserve">YANUARDI </t>
        </is>
      </c>
      <c r="N288" t="inlineStr">
        <is>
          <t>PERUMAHAN GRAND TAGARI PERMAI BLOK E NO.13</t>
        </is>
      </c>
      <c r="Q288" t="inlineStr">
        <is>
          <t>0. Tidak Ditemukan</t>
        </is>
      </c>
      <c r="R288" t="n">
        <v>0</v>
      </c>
      <c r="V288" t="inlineStr">
        <is>
          <t>Pastikan sesuai kondisi lapangan</t>
        </is>
      </c>
      <c r="W288" t="n">
        <v>0</v>
      </c>
      <c r="AB288" t="inlineStr">
        <is>
          <t>7271011001002402</t>
        </is>
      </c>
      <c r="AC288" t="inlineStr">
        <is>
          <t>APPROVED BY Pengawas</t>
        </is>
      </c>
    </row>
    <row r="289">
      <c r="A289" t="inlineStr">
        <is>
          <t>90f7bd4a-74ee-4f09-9947-d8e17d1c7c2c</t>
        </is>
      </c>
      <c r="B289" t="n">
        <v>72</v>
      </c>
      <c r="C289" t="n">
        <v>71</v>
      </c>
      <c r="D289" t="n">
        <v>11</v>
      </c>
      <c r="E289" t="n">
        <v>1</v>
      </c>
      <c r="F289" t="n">
        <v>24</v>
      </c>
      <c r="G289" t="n">
        <v>2</v>
      </c>
      <c r="H289" t="n">
        <v>28726460</v>
      </c>
      <c r="I289" t="n">
        <v>10794</v>
      </c>
      <c r="J289" t="inlineStr">
        <is>
          <t>Industri Kerupuk, Keripik, Peyek, dan Sejenisnya</t>
        </is>
      </c>
      <c r="M289" t="inlineStr">
        <is>
          <t>RINI SUHIYATI</t>
        </is>
      </c>
      <c r="N289" t="inlineStr">
        <is>
          <t>JL. TAGARI LONJO BTN ASRI PERMAI BLOK B2 PALU</t>
        </is>
      </c>
      <c r="Q289" t="inlineStr">
        <is>
          <t>0. Tidak Ditemukan</t>
        </is>
      </c>
      <c r="R289" t="n">
        <v>0</v>
      </c>
      <c r="V289" t="inlineStr">
        <is>
          <t>Pastikan sesuai kondisi lapangan</t>
        </is>
      </c>
      <c r="W289" t="n">
        <v>0</v>
      </c>
      <c r="AB289" t="inlineStr">
        <is>
          <t>7271011001002402</t>
        </is>
      </c>
      <c r="AC289" t="inlineStr">
        <is>
          <t>APPROVED BY Pengawas</t>
        </is>
      </c>
    </row>
    <row r="290">
      <c r="A290" t="inlineStr">
        <is>
          <t>01d8e374-2ee8-4d8d-a7fb-87e77ce590b9</t>
        </is>
      </c>
      <c r="B290" t="n">
        <v>72</v>
      </c>
      <c r="C290" t="n">
        <v>71</v>
      </c>
      <c r="D290" t="n">
        <v>11</v>
      </c>
      <c r="E290" t="n">
        <v>2</v>
      </c>
      <c r="F290" t="n">
        <v>4</v>
      </c>
      <c r="G290" t="n">
        <v>0</v>
      </c>
      <c r="H290" t="n">
        <v>57661129</v>
      </c>
      <c r="I290" t="n">
        <v>10437</v>
      </c>
      <c r="J290" t="inlineStr">
        <is>
          <t>Industri Minyak Goreng Kelapa Sawit</t>
        </is>
      </c>
      <c r="M290" t="inlineStr">
        <is>
          <t>BUKIT JEJER LESTARI</t>
        </is>
      </c>
      <c r="N290" t="inlineStr">
        <is>
          <t>JL. UVEMPEMATA</t>
        </is>
      </c>
      <c r="Q290" t="inlineStr">
        <is>
          <t>0. Tidak Ditemukan</t>
        </is>
      </c>
      <c r="R290" t="n">
        <v>0</v>
      </c>
      <c r="V290" t="inlineStr">
        <is>
          <t>Pastikan sesuai kondisi lapangan</t>
        </is>
      </c>
      <c r="W290" t="n">
        <v>0</v>
      </c>
      <c r="AB290" t="inlineStr">
        <is>
          <t>7271011002000400</t>
        </is>
      </c>
      <c r="AC290" t="inlineStr">
        <is>
          <t>APPROVED BY Pengawas</t>
        </is>
      </c>
    </row>
    <row r="291">
      <c r="A291" t="inlineStr">
        <is>
          <t>5047ab98-9639-434b-8043-4347f2e88492</t>
        </is>
      </c>
      <c r="B291" t="n">
        <v>72</v>
      </c>
      <c r="C291" t="n">
        <v>71</v>
      </c>
      <c r="D291" t="n">
        <v>11</v>
      </c>
      <c r="E291" t="n">
        <v>2</v>
      </c>
      <c r="F291" t="n">
        <v>18</v>
      </c>
      <c r="G291" t="n">
        <v>0</v>
      </c>
      <c r="H291" t="n">
        <v>26003909</v>
      </c>
      <c r="I291" t="n">
        <v>10710</v>
      </c>
      <c r="J291" t="inlineStr">
        <is>
          <t>Industri Produk Bakeri</t>
        </is>
      </c>
      <c r="M291" t="inlineStr">
        <is>
          <t>IIN IRAWATI</t>
        </is>
      </c>
      <c r="N291" t="inlineStr">
        <is>
          <t>BTN PENGAWU INDAH BLOK B.I NO. 14</t>
        </is>
      </c>
      <c r="Q291" t="inlineStr">
        <is>
          <t>0. Tidak Ditemukan</t>
        </is>
      </c>
      <c r="R291" t="n">
        <v>0</v>
      </c>
      <c r="V291" t="inlineStr">
        <is>
          <t>Pastikan sesuai kondisi lapangan</t>
        </is>
      </c>
      <c r="W291" t="n">
        <v>0</v>
      </c>
      <c r="AB291" t="inlineStr">
        <is>
          <t>7271011002001800</t>
        </is>
      </c>
      <c r="AC291" t="inlineStr">
        <is>
          <t>SUBMITTED BY Pencacah</t>
        </is>
      </c>
    </row>
    <row r="292">
      <c r="A292" t="inlineStr">
        <is>
          <t>db067c75-487d-489b-8857-b8a2d8d728cf</t>
        </is>
      </c>
      <c r="B292" t="n">
        <v>72</v>
      </c>
      <c r="C292" t="n">
        <v>71</v>
      </c>
      <c r="D292" t="n">
        <v>11</v>
      </c>
      <c r="E292" t="n">
        <v>2</v>
      </c>
      <c r="F292" t="n">
        <v>28</v>
      </c>
      <c r="G292" t="n">
        <v>0</v>
      </c>
      <c r="H292" t="n">
        <v>26272517</v>
      </c>
      <c r="I292" t="n">
        <v>10710</v>
      </c>
      <c r="J292" t="inlineStr">
        <is>
          <t>Industri Produk Bakeri</t>
        </is>
      </c>
      <c r="M292" t="inlineStr">
        <is>
          <t>FATIRAH</t>
        </is>
      </c>
      <c r="N292" t="inlineStr">
        <is>
          <t>JALAN MALONTARA KOMP. PERUMAHAN GREEN PENGAWU</t>
        </is>
      </c>
      <c r="Q292" t="inlineStr">
        <is>
          <t>0. Tidak Ditemukan</t>
        </is>
      </c>
      <c r="R292" t="n">
        <v>0</v>
      </c>
      <c r="V292" t="inlineStr">
        <is>
          <t>Pastikan sesuai kondisi lapangan</t>
        </is>
      </c>
      <c r="W292" t="n">
        <v>0</v>
      </c>
      <c r="AB292" t="inlineStr">
        <is>
          <t>7271011002002800</t>
        </is>
      </c>
      <c r="AC292" t="inlineStr">
        <is>
          <t>SUBMITTED BY Pencacah</t>
        </is>
      </c>
    </row>
    <row r="293">
      <c r="A293" t="inlineStr">
        <is>
          <t>af45b5b7-82e6-4caf-81cf-2787c1eb4af4</t>
        </is>
      </c>
      <c r="B293" t="n">
        <v>72</v>
      </c>
      <c r="C293" t="n">
        <v>71</v>
      </c>
      <c r="D293" t="n">
        <v>11</v>
      </c>
      <c r="E293" t="n">
        <v>3</v>
      </c>
      <c r="F293" t="n">
        <v>15</v>
      </c>
      <c r="G293" t="n">
        <v>0</v>
      </c>
      <c r="H293" t="n">
        <v>31805715</v>
      </c>
      <c r="M293" t="inlineStr">
        <is>
          <t>LENNY YOLANDA WENUR</t>
        </is>
      </c>
      <c r="N293" t="inlineStr">
        <is>
          <t>BTN PALUPI BLOK H NO. 4 PALU</t>
        </is>
      </c>
      <c r="Q293" t="inlineStr">
        <is>
          <t>0. Tidak Ditemukan</t>
        </is>
      </c>
      <c r="R293" t="n">
        <v>0</v>
      </c>
      <c r="V293" t="inlineStr">
        <is>
          <t>Pastikan sesuai kondisi lapangan</t>
        </is>
      </c>
      <c r="W293" t="n">
        <v>0</v>
      </c>
      <c r="AB293" t="inlineStr">
        <is>
          <t>7271011003001500</t>
        </is>
      </c>
      <c r="AC293" t="inlineStr">
        <is>
          <t>APPROVED BY Pengawas</t>
        </is>
      </c>
    </row>
    <row r="294">
      <c r="A294" t="inlineStr">
        <is>
          <t>7c6ab8ee-1127-4492-aadb-bb3ada5185e1</t>
        </is>
      </c>
      <c r="B294" t="n">
        <v>72</v>
      </c>
      <c r="C294" t="n">
        <v>71</v>
      </c>
      <c r="D294" t="n">
        <v>11</v>
      </c>
      <c r="E294" t="n">
        <v>3</v>
      </c>
      <c r="F294" t="n">
        <v>16</v>
      </c>
      <c r="G294" t="n">
        <v>0</v>
      </c>
      <c r="H294" t="n">
        <v>27889889</v>
      </c>
      <c r="I294" t="n">
        <v>10794</v>
      </c>
      <c r="J294" t="inlineStr">
        <is>
          <t>Industri Kerupuk, Keripik, Peyek, dan Sejenisnya</t>
        </is>
      </c>
      <c r="M294" t="inlineStr">
        <is>
          <t>ZAKHIA SALSABILA ISLAMAY</t>
        </is>
      </c>
      <c r="N294" t="inlineStr">
        <is>
          <t>BTN PALUPI BLOK BS 2 NO 11</t>
        </is>
      </c>
      <c r="Q294" t="inlineStr">
        <is>
          <t>0. Tidak Ditemukan</t>
        </is>
      </c>
      <c r="R294" t="n">
        <v>0</v>
      </c>
      <c r="V294" t="inlineStr">
        <is>
          <t>Pastikan sesuai kondisi lapangan</t>
        </is>
      </c>
      <c r="W294" t="n">
        <v>0</v>
      </c>
      <c r="AB294" t="inlineStr">
        <is>
          <t>7271011003001600</t>
        </is>
      </c>
      <c r="AC294" t="inlineStr">
        <is>
          <t>APPROVED BY Pengawas</t>
        </is>
      </c>
    </row>
    <row r="295">
      <c r="A295" t="inlineStr">
        <is>
          <t>aa1bafe5-3bde-4374-ba87-af6a0317115f</t>
        </is>
      </c>
      <c r="B295" t="n">
        <v>72</v>
      </c>
      <c r="C295" t="n">
        <v>71</v>
      </c>
      <c r="D295" t="n">
        <v>11</v>
      </c>
      <c r="E295" t="n">
        <v>3</v>
      </c>
      <c r="F295" t="n">
        <v>16</v>
      </c>
      <c r="G295" t="n">
        <v>0</v>
      </c>
      <c r="H295" t="n">
        <v>29172782</v>
      </c>
      <c r="I295" t="n">
        <v>10794</v>
      </c>
      <c r="J295" t="inlineStr">
        <is>
          <t>Industri Kerupuk, Keripik, Peyek, dan Sejenisnya</t>
        </is>
      </c>
      <c r="M295" t="inlineStr">
        <is>
          <t>NURCAYA NUR</t>
        </is>
      </c>
      <c r="N295" t="inlineStr">
        <is>
          <t>BTN PALUPI PERMAI BLOK L NO. 43</t>
        </is>
      </c>
      <c r="Q295" t="inlineStr">
        <is>
          <t>0. Tidak Ditemukan</t>
        </is>
      </c>
      <c r="R295" t="n">
        <v>0</v>
      </c>
      <c r="V295" t="inlineStr">
        <is>
          <t>Pastikan sesuai kondisi lapangan</t>
        </is>
      </c>
      <c r="W295" t="n">
        <v>0</v>
      </c>
      <c r="AB295" t="inlineStr">
        <is>
          <t>7271011003001600</t>
        </is>
      </c>
      <c r="AC295" t="inlineStr">
        <is>
          <t>APPROVED BY Pengawas</t>
        </is>
      </c>
    </row>
    <row r="296">
      <c r="A296" t="inlineStr">
        <is>
          <t>0891c8ee-a25b-4667-bc2a-e3c332532bd9</t>
        </is>
      </c>
      <c r="B296" t="n">
        <v>72</v>
      </c>
      <c r="C296" t="n">
        <v>71</v>
      </c>
      <c r="D296" t="n">
        <v>11</v>
      </c>
      <c r="E296" t="n">
        <v>3</v>
      </c>
      <c r="F296" t="n">
        <v>38</v>
      </c>
      <c r="G296" t="n">
        <v>0</v>
      </c>
      <c r="H296" t="n">
        <v>26741796</v>
      </c>
      <c r="I296" t="n">
        <v>10710</v>
      </c>
      <c r="J296" t="inlineStr">
        <is>
          <t>Industri Produk Bakeri</t>
        </is>
      </c>
      <c r="M296" t="inlineStr">
        <is>
          <t>ADRIAN MARTHEN</t>
        </is>
      </c>
      <c r="N296" t="inlineStr">
        <is>
          <t>JL. PARAMEDIS RAYA BLOK AB NO. 2</t>
        </is>
      </c>
      <c r="Q296" t="inlineStr">
        <is>
          <t>0. Tidak Ditemukan</t>
        </is>
      </c>
      <c r="R296" t="n">
        <v>0</v>
      </c>
      <c r="V296" t="inlineStr">
        <is>
          <t>Pastikan sesuai kondisi lapangan</t>
        </is>
      </c>
      <c r="W296" t="n">
        <v>0</v>
      </c>
      <c r="AB296" t="inlineStr">
        <is>
          <t>7271011003003800</t>
        </is>
      </c>
      <c r="AC296" t="inlineStr">
        <is>
          <t>APPROVED BY Pengawas</t>
        </is>
      </c>
    </row>
    <row r="297">
      <c r="A297" t="inlineStr">
        <is>
          <t>a3506225-9d93-4f2f-9d23-b191343ed26f</t>
        </is>
      </c>
      <c r="B297" t="n">
        <v>72</v>
      </c>
      <c r="C297" t="n">
        <v>71</v>
      </c>
      <c r="D297" t="n">
        <v>11</v>
      </c>
      <c r="E297" t="n">
        <v>4</v>
      </c>
      <c r="F297" t="n">
        <v>16</v>
      </c>
      <c r="G297" t="n">
        <v>0</v>
      </c>
      <c r="H297" t="n">
        <v>26609422</v>
      </c>
      <c r="I297" t="n">
        <v>10303</v>
      </c>
      <c r="J297" t="inlineStr">
        <is>
          <t>Pengeringan Buah-buahan dan Sayuran</t>
        </is>
      </c>
      <c r="M297" t="inlineStr">
        <is>
          <t xml:space="preserve">MASLIANI </t>
        </is>
      </c>
      <c r="N297" t="inlineStr">
        <is>
          <t xml:space="preserve">JL. I GUSTI NGURAH RAI </t>
        </is>
      </c>
      <c r="Q297" t="inlineStr">
        <is>
          <t>0. Tidak Ditemukan</t>
        </is>
      </c>
      <c r="R297" t="n">
        <v>0</v>
      </c>
      <c r="V297" t="inlineStr">
        <is>
          <t>Pastikan sesuai kondisi lapangan</t>
        </is>
      </c>
      <c r="W297" t="n">
        <v>0</v>
      </c>
      <c r="AB297" t="inlineStr">
        <is>
          <t>7271011004001600</t>
        </is>
      </c>
      <c r="AC297" t="inlineStr">
        <is>
          <t>REJECTED BY Pengawas</t>
        </is>
      </c>
    </row>
    <row r="298">
      <c r="A298" t="inlineStr">
        <is>
          <t>21956b6f-81d6-4690-b29f-0b203a234d58</t>
        </is>
      </c>
      <c r="B298" t="n">
        <v>72</v>
      </c>
      <c r="C298" t="n">
        <v>71</v>
      </c>
      <c r="D298" t="n">
        <v>11</v>
      </c>
      <c r="E298" t="n">
        <v>5</v>
      </c>
      <c r="F298" t="n">
        <v>6</v>
      </c>
      <c r="G298" t="n">
        <v>2</v>
      </c>
      <c r="H298" t="n">
        <v>31361243</v>
      </c>
      <c r="I298" t="n">
        <v>10794</v>
      </c>
      <c r="J298" t="inlineStr">
        <is>
          <t>Industri Kerupuk, Keripik, Peyek, dan Sejenisnya</t>
        </is>
      </c>
      <c r="M298" t="inlineStr">
        <is>
          <t>HABIR IZAH KAHFI</t>
        </is>
      </c>
      <c r="N298" t="inlineStr">
        <is>
          <t>JL.BERINGIN I NO.20</t>
        </is>
      </c>
      <c r="Q298" t="inlineStr">
        <is>
          <t>0. Tidak Ditemukan</t>
        </is>
      </c>
      <c r="R298" t="n">
        <v>0</v>
      </c>
      <c r="V298" t="inlineStr">
        <is>
          <t>Pastikan sesuai kondisi lapangan</t>
        </is>
      </c>
      <c r="W298" t="n">
        <v>0</v>
      </c>
      <c r="AB298" t="inlineStr">
        <is>
          <t>7271011005000602</t>
        </is>
      </c>
      <c r="AC298" t="inlineStr">
        <is>
          <t>SUBMITTED BY Pencacah</t>
        </is>
      </c>
    </row>
    <row r="299">
      <c r="A299" t="inlineStr">
        <is>
          <t>fd7c958c-9571-402c-9227-a611cabe04c0</t>
        </is>
      </c>
      <c r="B299" t="n">
        <v>72</v>
      </c>
      <c r="C299" t="n">
        <v>71</v>
      </c>
      <c r="D299" t="n">
        <v>12</v>
      </c>
      <c r="E299" t="n">
        <v>1</v>
      </c>
      <c r="F299" t="n">
        <v>20</v>
      </c>
      <c r="G299" t="n">
        <v>0</v>
      </c>
      <c r="H299" t="n">
        <v>32262326</v>
      </c>
      <c r="I299" t="n">
        <v>10710</v>
      </c>
      <c r="J299" t="inlineStr">
        <is>
          <t>Industri Produk Bakeri</t>
        </is>
      </c>
      <c r="M299" t="inlineStr">
        <is>
          <t>MU' AMMAL</t>
        </is>
      </c>
      <c r="N299" t="inlineStr">
        <is>
          <t>JL. LANGSAT NO.21</t>
        </is>
      </c>
      <c r="Q299" t="inlineStr">
        <is>
          <t>0. Tidak Ditemukan</t>
        </is>
      </c>
      <c r="R299" t="n">
        <v>0</v>
      </c>
      <c r="V299" t="inlineStr">
        <is>
          <t>Pastikan sesuai kondisi lapangan</t>
        </is>
      </c>
      <c r="W299" t="n">
        <v>0</v>
      </c>
      <c r="AB299" t="inlineStr">
        <is>
          <t>7271012001002000</t>
        </is>
      </c>
      <c r="AC299" t="inlineStr">
        <is>
          <t>APPROVED BY Pengawas</t>
        </is>
      </c>
    </row>
    <row r="300">
      <c r="A300" t="inlineStr">
        <is>
          <t>dc1ca4a9-dc05-4fb7-a19c-c31f88b6e40a</t>
        </is>
      </c>
      <c r="B300" t="n">
        <v>72</v>
      </c>
      <c r="C300" t="n">
        <v>71</v>
      </c>
      <c r="D300" t="n">
        <v>12</v>
      </c>
      <c r="E300" t="n">
        <v>1</v>
      </c>
      <c r="F300" t="n">
        <v>20</v>
      </c>
      <c r="G300" t="n">
        <v>0</v>
      </c>
      <c r="H300" t="n">
        <v>32271830</v>
      </c>
      <c r="M300" t="inlineStr">
        <is>
          <t>SITTI JUFRI</t>
        </is>
      </c>
      <c r="N300" t="inlineStr">
        <is>
          <t>JL. LANGSAT NO.21</t>
        </is>
      </c>
      <c r="Q300" t="inlineStr">
        <is>
          <t>0. Tidak Ditemukan</t>
        </is>
      </c>
      <c r="R300" t="n">
        <v>0</v>
      </c>
      <c r="V300" t="inlineStr">
        <is>
          <t>Pastikan sesuai kondisi lapangan</t>
        </is>
      </c>
      <c r="W300" t="n">
        <v>0</v>
      </c>
      <c r="AB300" t="inlineStr">
        <is>
          <t>7271012001002000</t>
        </is>
      </c>
      <c r="AC300" t="inlineStr">
        <is>
          <t>APPROVED BY Pengawas</t>
        </is>
      </c>
    </row>
    <row r="301">
      <c r="A301" t="inlineStr">
        <is>
          <t>8119bb20-891f-41b6-a594-231a3ed43f37</t>
        </is>
      </c>
      <c r="B301" t="n">
        <v>72</v>
      </c>
      <c r="C301" t="n">
        <v>71</v>
      </c>
      <c r="D301" t="n">
        <v>12</v>
      </c>
      <c r="E301" t="n">
        <v>2</v>
      </c>
      <c r="F301" t="n">
        <v>7</v>
      </c>
      <c r="G301" t="n">
        <v>0</v>
      </c>
      <c r="H301" t="n">
        <v>29399428</v>
      </c>
      <c r="I301" t="n">
        <v>10303</v>
      </c>
      <c r="J301" t="inlineStr">
        <is>
          <t>Pengeringan Buah-buahan dan Sayuran</t>
        </is>
      </c>
      <c r="M301" t="inlineStr">
        <is>
          <t>HAJIJA</t>
        </is>
      </c>
      <c r="N301" t="inlineStr">
        <is>
          <t>JL. MUNIF RAHMAN NO.09 PALU</t>
        </is>
      </c>
      <c r="Q301" t="inlineStr">
        <is>
          <t>0. Tidak Ditemukan</t>
        </is>
      </c>
      <c r="R301" t="n">
        <v>0</v>
      </c>
      <c r="V301" t="inlineStr">
        <is>
          <t>Pastikan sesuai kondisi lapangan</t>
        </is>
      </c>
      <c r="W301" t="n">
        <v>0</v>
      </c>
      <c r="AB301" t="inlineStr">
        <is>
          <t>7271012002000700</t>
        </is>
      </c>
      <c r="AC301" t="inlineStr">
        <is>
          <t>SUBMITTED BY Pencacah</t>
        </is>
      </c>
    </row>
    <row r="302">
      <c r="A302" t="inlineStr">
        <is>
          <t>7c26eabb-d9aa-411a-9f7e-8db6bb8fd7e6</t>
        </is>
      </c>
      <c r="B302" t="n">
        <v>72</v>
      </c>
      <c r="C302" t="n">
        <v>71</v>
      </c>
      <c r="D302" t="n">
        <v>12</v>
      </c>
      <c r="E302" t="n">
        <v>3</v>
      </c>
      <c r="F302" t="n">
        <v>13</v>
      </c>
      <c r="G302" t="n">
        <v>0</v>
      </c>
      <c r="H302" t="n">
        <v>26257478</v>
      </c>
      <c r="I302" t="n">
        <v>10799</v>
      </c>
      <c r="J302" t="inlineStr">
        <is>
          <t>Industri Produk Makanan Lainnya YTDL</t>
        </is>
      </c>
      <c r="M302" t="inlineStr">
        <is>
          <t xml:space="preserve">RENALDI </t>
        </is>
      </c>
      <c r="N302" t="inlineStr">
        <is>
          <t xml:space="preserve">JL.TENTENA V NO.19 BTN </t>
        </is>
      </c>
      <c r="Q302" t="inlineStr">
        <is>
          <t>0. Tidak Ditemukan</t>
        </is>
      </c>
      <c r="R302" t="n">
        <v>0</v>
      </c>
      <c r="V302" t="inlineStr">
        <is>
          <t>Pastikan sesuai kondisi lapangan</t>
        </is>
      </c>
      <c r="W302" t="n">
        <v>0</v>
      </c>
      <c r="AB302" t="inlineStr">
        <is>
          <t>7271012003001300</t>
        </is>
      </c>
      <c r="AC302" t="inlineStr">
        <is>
          <t>APPROVED BY Pengawas</t>
        </is>
      </c>
    </row>
    <row r="303">
      <c r="A303" t="inlineStr">
        <is>
          <t>5f0c18d8-3cde-4cb2-8158-1be7bc245ecb</t>
        </is>
      </c>
      <c r="B303" t="n">
        <v>72</v>
      </c>
      <c r="C303" t="n">
        <v>71</v>
      </c>
      <c r="D303" t="n">
        <v>12</v>
      </c>
      <c r="E303" t="n">
        <v>3</v>
      </c>
      <c r="F303" t="n">
        <v>14</v>
      </c>
      <c r="G303" t="n">
        <v>0</v>
      </c>
      <c r="H303" t="n">
        <v>32159929</v>
      </c>
      <c r="I303" t="n">
        <v>2300</v>
      </c>
      <c r="J303" t="inlineStr">
        <is>
          <t>Pemungutan Hasil Hutan Bukan Kayu</t>
        </is>
      </c>
      <c r="M303" t="inlineStr">
        <is>
          <t>NURJANNAH RADJULAENI</t>
        </is>
      </c>
      <c r="N303" t="inlineStr">
        <is>
          <t>JL. POSO 3 BLOK C NOMOR 36 BTN SILAE</t>
        </is>
      </c>
      <c r="Q303" t="inlineStr">
        <is>
          <t>0. Tidak Ditemukan</t>
        </is>
      </c>
      <c r="R303" t="n">
        <v>0</v>
      </c>
      <c r="V303" t="inlineStr">
        <is>
          <t>Pastikan sesuai kondisi lapangan</t>
        </is>
      </c>
      <c r="W303" t="n">
        <v>0</v>
      </c>
      <c r="AB303" t="inlineStr">
        <is>
          <t>7271012003001400</t>
        </is>
      </c>
      <c r="AC303" t="inlineStr">
        <is>
          <t>SUBMITTED BY Pencacah</t>
        </is>
      </c>
    </row>
    <row r="304">
      <c r="A304" t="inlineStr">
        <is>
          <t>d7e7c730-0f37-43ed-bd2e-6561afaf4c90</t>
        </is>
      </c>
      <c r="B304" t="n">
        <v>72</v>
      </c>
      <c r="C304" t="n">
        <v>71</v>
      </c>
      <c r="D304" t="n">
        <v>20</v>
      </c>
      <c r="E304" t="n">
        <v>4</v>
      </c>
      <c r="F304" t="n">
        <v>1</v>
      </c>
      <c r="G304" t="n">
        <v>1</v>
      </c>
      <c r="H304" t="n">
        <v>31197339</v>
      </c>
      <c r="M304" t="inlineStr">
        <is>
          <t>DINA CHRISTIN</t>
        </is>
      </c>
      <c r="N304" t="inlineStr">
        <is>
          <t>JL. TOWUA LRG. SINTUWU II PALU</t>
        </is>
      </c>
      <c r="Q304" t="inlineStr">
        <is>
          <t>0. Tidak Ditemukan</t>
        </is>
      </c>
      <c r="R304" t="n">
        <v>0</v>
      </c>
      <c r="V304" t="inlineStr">
        <is>
          <t>Pastikan sesuai kondisi lapangan</t>
        </is>
      </c>
      <c r="W304" t="n">
        <v>0</v>
      </c>
      <c r="AB304" t="inlineStr">
        <is>
          <t>7271020004000101</t>
        </is>
      </c>
      <c r="AC304" t="inlineStr">
        <is>
          <t>APPROVED BY Pengawas</t>
        </is>
      </c>
    </row>
    <row r="305">
      <c r="A305" t="inlineStr">
        <is>
          <t>64884610-7d3e-4305-ae3e-9fcb6342c51c</t>
        </is>
      </c>
      <c r="B305" t="n">
        <v>72</v>
      </c>
      <c r="C305" t="n">
        <v>71</v>
      </c>
      <c r="D305" t="n">
        <v>20</v>
      </c>
      <c r="E305" t="n">
        <v>4</v>
      </c>
      <c r="F305" t="n">
        <v>1</v>
      </c>
      <c r="G305" t="n">
        <v>2</v>
      </c>
      <c r="H305" t="n">
        <v>29526424</v>
      </c>
      <c r="I305" t="n">
        <v>10710</v>
      </c>
      <c r="J305" t="inlineStr">
        <is>
          <t>Industri Produk Bakeri</t>
        </is>
      </c>
      <c r="M305" t="inlineStr">
        <is>
          <t>JOICE EKANITA</t>
        </is>
      </c>
      <c r="N305" t="inlineStr">
        <is>
          <t>JALAN TOWUA II NO 24</t>
        </is>
      </c>
      <c r="Q305" t="inlineStr">
        <is>
          <t>0. Tidak Ditemukan</t>
        </is>
      </c>
      <c r="R305" t="n">
        <v>0</v>
      </c>
      <c r="V305" t="inlineStr">
        <is>
          <t>Pastikan sesuai kondisi lapangan</t>
        </is>
      </c>
      <c r="W305" t="n">
        <v>0</v>
      </c>
      <c r="AB305" t="inlineStr">
        <is>
          <t>7271020004000102</t>
        </is>
      </c>
      <c r="AC305" t="inlineStr">
        <is>
          <t>APPROVED BY Pengawas</t>
        </is>
      </c>
    </row>
    <row r="306">
      <c r="A306" t="inlineStr">
        <is>
          <t>ee420e91-01b6-42e4-a9b5-9a64ab7a7884</t>
        </is>
      </c>
      <c r="B306" t="n">
        <v>72</v>
      </c>
      <c r="C306" t="n">
        <v>71</v>
      </c>
      <c r="D306" t="n">
        <v>20</v>
      </c>
      <c r="E306" t="n">
        <v>4</v>
      </c>
      <c r="F306" t="n">
        <v>6</v>
      </c>
      <c r="G306" t="n">
        <v>2</v>
      </c>
      <c r="H306" t="n">
        <v>58045923</v>
      </c>
      <c r="M306" t="inlineStr">
        <is>
          <t>FUNNY VIALLENT CIPTOMO</t>
        </is>
      </c>
      <c r="N306" t="inlineStr">
        <is>
          <t>JL. BANTENG I NO. 09, RT/RW -, BIROBULI SELATAN, PALU SELATAN</t>
        </is>
      </c>
      <c r="Q306" t="inlineStr">
        <is>
          <t>0. Tidak Ditemukan</t>
        </is>
      </c>
      <c r="R306" t="n">
        <v>0</v>
      </c>
      <c r="V306" t="inlineStr">
        <is>
          <t>Pastikan sesuai kondisi lapangan</t>
        </is>
      </c>
      <c r="W306" t="n">
        <v>0</v>
      </c>
      <c r="AB306" t="inlineStr">
        <is>
          <t>7271020004000602</t>
        </is>
      </c>
      <c r="AC306" t="inlineStr">
        <is>
          <t>APPROVED BY Pengawas</t>
        </is>
      </c>
    </row>
    <row r="307">
      <c r="A307" t="inlineStr">
        <is>
          <t>7a4d62e1-7ebd-4928-b394-95e8f397a5b2</t>
        </is>
      </c>
      <c r="B307" t="n">
        <v>72</v>
      </c>
      <c r="C307" t="n">
        <v>71</v>
      </c>
      <c r="D307" t="n">
        <v>20</v>
      </c>
      <c r="E307" t="n">
        <v>7</v>
      </c>
      <c r="F307" t="n">
        <v>13</v>
      </c>
      <c r="G307" t="n">
        <v>1</v>
      </c>
      <c r="H307" t="n">
        <v>26593651</v>
      </c>
      <c r="I307" t="n">
        <v>11059</v>
      </c>
      <c r="J307" t="inlineStr">
        <is>
          <t>Industri Minuman Lainnya</t>
        </is>
      </c>
      <c r="M307" t="inlineStr">
        <is>
          <t>NURUL QALBI</t>
        </is>
      </c>
      <c r="N307" t="inlineStr">
        <is>
          <t xml:space="preserve">JL GARUDA 28 LORONG KAPURUNG </t>
        </is>
      </c>
      <c r="Q307" t="inlineStr">
        <is>
          <t>0. Tidak Ditemukan</t>
        </is>
      </c>
      <c r="R307" t="n">
        <v>0</v>
      </c>
      <c r="V307" t="inlineStr">
        <is>
          <t>Pastikan sesuai kondisi lapangan</t>
        </is>
      </c>
      <c r="W307" t="n">
        <v>0</v>
      </c>
      <c r="AB307" t="inlineStr">
        <is>
          <t>7271020007001301</t>
        </is>
      </c>
      <c r="AC307" t="inlineStr">
        <is>
          <t>APPROVED BY Pengawas</t>
        </is>
      </c>
    </row>
    <row r="308">
      <c r="A308" t="inlineStr">
        <is>
          <t>66605f28-4167-449e-af84-f08489142665</t>
        </is>
      </c>
      <c r="B308" t="n">
        <v>72</v>
      </c>
      <c r="C308" t="n">
        <v>71</v>
      </c>
      <c r="D308" t="n">
        <v>20</v>
      </c>
      <c r="E308" t="n">
        <v>7</v>
      </c>
      <c r="F308" t="n">
        <v>19</v>
      </c>
      <c r="G308" t="n">
        <v>0</v>
      </c>
      <c r="H308" t="n">
        <v>29273322</v>
      </c>
      <c r="I308" t="n">
        <v>10750</v>
      </c>
      <c r="J308" t="inlineStr">
        <is>
          <t>Industri Makanan dan Masakan Olahan</t>
        </is>
      </c>
      <c r="K308" t="n">
        <v>11052</v>
      </c>
      <c r="L308" t="inlineStr">
        <is>
          <t>Industri Air Minum Isi Ulang</t>
        </is>
      </c>
      <c r="M308" t="inlineStr">
        <is>
          <t xml:space="preserve">DEPOT ATARO (ACHFAN) </t>
        </is>
      </c>
      <c r="N308" t="inlineStr">
        <is>
          <t>JL. ABDUL RAHMAN SALEH NO. 42 D No. 42 D</t>
        </is>
      </c>
      <c r="O308" t="inlineStr">
        <is>
          <t>ACHFAN</t>
        </is>
      </c>
      <c r="Q308" t="inlineStr">
        <is>
          <t>2. Baru</t>
        </is>
      </c>
      <c r="R308" t="n">
        <v>2</v>
      </c>
      <c r="V308" t="inlineStr">
        <is>
          <t>Pastikan kode KBLI sesuai dengan kode KBLI cakupan BPOM yang tertera dalam buku Pedoman</t>
        </is>
      </c>
      <c r="W308" t="n">
        <v>0</v>
      </c>
      <c r="AB308" t="inlineStr">
        <is>
          <t>7271020007001900</t>
        </is>
      </c>
      <c r="AC308" t="inlineStr">
        <is>
          <t>APPROVED BY Pengawas</t>
        </is>
      </c>
    </row>
    <row r="309">
      <c r="A309" t="inlineStr">
        <is>
          <t>b09c95ed-d35e-4f70-9ee7-ab671d160cb1</t>
        </is>
      </c>
      <c r="B309" t="n">
        <v>72</v>
      </c>
      <c r="C309" t="n">
        <v>71</v>
      </c>
      <c r="D309" t="n">
        <v>20</v>
      </c>
      <c r="E309" t="n">
        <v>7</v>
      </c>
      <c r="F309" t="n">
        <v>21</v>
      </c>
      <c r="G309" t="n">
        <v>0</v>
      </c>
      <c r="H309" t="n">
        <v>26534636</v>
      </c>
      <c r="I309" t="n">
        <v>10750</v>
      </c>
      <c r="J309" t="inlineStr">
        <is>
          <t>Industri Makanan dan Masakan Olahan</t>
        </is>
      </c>
      <c r="M309" t="inlineStr">
        <is>
          <t>ANDRIYANTI</t>
        </is>
      </c>
      <c r="N309" t="inlineStr">
        <is>
          <t>JL. ABD. RAHMAN SALEH BTN MUTIARA INDAH BLOK E</t>
        </is>
      </c>
      <c r="Q309" t="inlineStr">
        <is>
          <t>0. Tidak Ditemukan</t>
        </is>
      </c>
      <c r="R309" t="n">
        <v>0</v>
      </c>
      <c r="V309" t="inlineStr">
        <is>
          <t>Pastikan sesuai kondisi lapangan</t>
        </is>
      </c>
      <c r="W309" t="n">
        <v>0</v>
      </c>
      <c r="AB309" t="inlineStr">
        <is>
          <t>7271020007002100</t>
        </is>
      </c>
      <c r="AC309" t="inlineStr">
        <is>
          <t>APPROVED BY Pengawas</t>
        </is>
      </c>
    </row>
    <row r="310">
      <c r="A310" t="inlineStr">
        <is>
          <t>b7f043e3-1ac2-44c4-9399-127f69a42825</t>
        </is>
      </c>
      <c r="B310" t="n">
        <v>72</v>
      </c>
      <c r="C310" t="n">
        <v>71</v>
      </c>
      <c r="D310" t="n">
        <v>20</v>
      </c>
      <c r="E310" t="n">
        <v>7</v>
      </c>
      <c r="F310" t="n">
        <v>31</v>
      </c>
      <c r="G310" t="n">
        <v>0</v>
      </c>
      <c r="H310" t="n">
        <v>28078633</v>
      </c>
      <c r="I310" t="n">
        <v>10750</v>
      </c>
      <c r="J310" t="inlineStr">
        <is>
          <t>Industri Makanan dan Masakan Olahan</t>
        </is>
      </c>
      <c r="M310" t="inlineStr">
        <is>
          <t>AGNES WAHYU EKO SUSILOWATI</t>
        </is>
      </c>
      <c r="N310" t="inlineStr">
        <is>
          <t>JALAN BASUKI RAHMAT LR PERJUANGAN NO 33</t>
        </is>
      </c>
      <c r="Q310" t="inlineStr">
        <is>
          <t>0. Tidak Ditemukan</t>
        </is>
      </c>
      <c r="R310" t="n">
        <v>0</v>
      </c>
      <c r="V310" t="inlineStr">
        <is>
          <t>Pastikan sesuai kondisi lapangan</t>
        </is>
      </c>
      <c r="W310" t="n">
        <v>0</v>
      </c>
      <c r="AB310" t="inlineStr">
        <is>
          <t>7271020007003100</t>
        </is>
      </c>
      <c r="AC310" t="inlineStr">
        <is>
          <t>APPROVED BY Pengawas</t>
        </is>
      </c>
    </row>
    <row r="311">
      <c r="A311" t="inlineStr">
        <is>
          <t>33bd021b-67f7-4044-b86c-2ef11e865c8a</t>
        </is>
      </c>
      <c r="B311" t="n">
        <v>72</v>
      </c>
      <c r="C311" t="n">
        <v>71</v>
      </c>
      <c r="D311" t="n">
        <v>20</v>
      </c>
      <c r="E311" t="n">
        <v>8</v>
      </c>
      <c r="F311" t="n">
        <v>1</v>
      </c>
      <c r="G311" t="n">
        <v>3</v>
      </c>
      <c r="H311" t="n">
        <v>29542682</v>
      </c>
      <c r="I311" t="n">
        <v>10710</v>
      </c>
      <c r="J311" t="inlineStr">
        <is>
          <t>Industri Produk Bakeri</t>
        </is>
      </c>
      <c r="M311" t="inlineStr">
        <is>
          <t>HASNIANI CELTI</t>
        </is>
      </c>
      <c r="N311" t="inlineStr">
        <is>
          <t>JL. PANGIMPUAN</t>
        </is>
      </c>
      <c r="Q311" t="inlineStr">
        <is>
          <t>0. Tidak Ditemukan</t>
        </is>
      </c>
      <c r="R311" t="n">
        <v>0</v>
      </c>
      <c r="V311" t="inlineStr">
        <is>
          <t>Pastikan sesuai kondisi lapangan</t>
        </is>
      </c>
      <c r="W311" t="n">
        <v>0</v>
      </c>
      <c r="AB311" t="inlineStr">
        <is>
          <t>7271020008000103</t>
        </is>
      </c>
      <c r="AC311" t="inlineStr">
        <is>
          <t>APPROVED BY Pengawas</t>
        </is>
      </c>
    </row>
    <row r="312">
      <c r="A312" t="inlineStr">
        <is>
          <t>85e5a8d2-7a64-4f82-83d4-5817eb8b174f</t>
        </is>
      </c>
      <c r="B312" t="n">
        <v>72</v>
      </c>
      <c r="C312" t="n">
        <v>71</v>
      </c>
      <c r="D312" t="n">
        <v>20</v>
      </c>
      <c r="E312" t="n">
        <v>8</v>
      </c>
      <c r="F312" t="n">
        <v>2</v>
      </c>
      <c r="G312" t="n">
        <v>1</v>
      </c>
      <c r="H312" t="n">
        <v>30686473</v>
      </c>
      <c r="I312" t="n">
        <v>10302</v>
      </c>
      <c r="J312" t="inlineStr">
        <is>
          <t>Pelumatan Buah-buahan dan Sayuran</t>
        </is>
      </c>
      <c r="M312" t="inlineStr">
        <is>
          <t>SINTARMA</t>
        </is>
      </c>
      <c r="N312" t="inlineStr">
        <is>
          <t>JL. EMY SAELAN NO. 72</t>
        </is>
      </c>
      <c r="Q312" t="inlineStr">
        <is>
          <t>0. Tidak Ditemukan</t>
        </is>
      </c>
      <c r="R312" t="n">
        <v>0</v>
      </c>
      <c r="V312" t="inlineStr">
        <is>
          <t>Pastikan sesuai kondisi lapangan</t>
        </is>
      </c>
      <c r="W312" t="n">
        <v>0</v>
      </c>
      <c r="AB312" t="inlineStr">
        <is>
          <t>7271020008000201</t>
        </is>
      </c>
      <c r="AC312" t="inlineStr">
        <is>
          <t>SUBMITTED BY Pencacah</t>
        </is>
      </c>
    </row>
    <row r="313">
      <c r="A313" t="inlineStr">
        <is>
          <t>dd1b884b-b151-4767-9ed9-e92b41d52d7a</t>
        </is>
      </c>
      <c r="B313" t="n">
        <v>72</v>
      </c>
      <c r="C313" t="n">
        <v>71</v>
      </c>
      <c r="D313" t="n">
        <v>20</v>
      </c>
      <c r="E313" t="n">
        <v>8</v>
      </c>
      <c r="F313" t="n">
        <v>36</v>
      </c>
      <c r="G313" t="n">
        <v>0</v>
      </c>
      <c r="H313" t="n">
        <v>26710137</v>
      </c>
      <c r="I313" t="n">
        <v>10303</v>
      </c>
      <c r="J313" t="inlineStr">
        <is>
          <t>Pengeringan Buah-buahan dan Sayuran</t>
        </is>
      </c>
      <c r="K313" t="n">
        <v>47751</v>
      </c>
      <c r="L313" t="inlineStr">
        <is>
          <t>Perdagangan Eceran Hewan Kesayangan (Pet Animals)</t>
        </is>
      </c>
      <c r="M313" t="inlineStr">
        <is>
          <t>ME-MOW PETSHOP</t>
        </is>
      </c>
      <c r="N313" t="inlineStr">
        <is>
          <t>JL. ANOA 1 LRG. SEHATI NO.145D</t>
        </is>
      </c>
      <c r="P313" t="inlineStr">
        <is>
          <t>7271**********03</t>
        </is>
      </c>
      <c r="Q313" t="inlineStr">
        <is>
          <t>1. Ditemukan</t>
        </is>
      </c>
      <c r="R313" t="n">
        <v>1</v>
      </c>
      <c r="V313" t="inlineStr">
        <is>
          <t>Pastikan kode KBLI sesuai dengan kode KBLI cakupan BPOM yang tertera dalam buku Pedoman</t>
        </is>
      </c>
      <c r="W313" t="n">
        <v>0</v>
      </c>
      <c r="AB313" t="inlineStr">
        <is>
          <t>7271020008003600</t>
        </is>
      </c>
      <c r="AC313" t="inlineStr">
        <is>
          <t>EDITED BY Admin Kabupaten</t>
        </is>
      </c>
    </row>
    <row r="314">
      <c r="A314" t="inlineStr">
        <is>
          <t>6802c11a-27f7-4ef6-9160-72408accc895</t>
        </is>
      </c>
      <c r="B314" t="n">
        <v>72</v>
      </c>
      <c r="C314" t="n">
        <v>71</v>
      </c>
      <c r="D314" t="n">
        <v>20</v>
      </c>
      <c r="E314" t="n">
        <v>9</v>
      </c>
      <c r="F314" t="n">
        <v>15</v>
      </c>
      <c r="G314" t="n">
        <v>0</v>
      </c>
      <c r="H314" t="n">
        <v>29351989</v>
      </c>
      <c r="I314" t="n">
        <v>10710</v>
      </c>
      <c r="J314" t="inlineStr">
        <is>
          <t>Industri Produk Bakeri</t>
        </is>
      </c>
      <c r="K314" t="n">
        <v>47242</v>
      </c>
      <c r="L314" t="inlineStr">
        <is>
          <t>Perdagangan Eceran Roti, Kue Kering, serta Kue Basah dan Sejenisnya</t>
        </is>
      </c>
      <c r="M314" t="inlineStr">
        <is>
          <t>ERVIN SEMPRONG</t>
        </is>
      </c>
      <c r="N314" t="inlineStr">
        <is>
          <t>JLN. TOWUA LRG. LEMBU 1 -</t>
        </is>
      </c>
      <c r="O314" t="inlineStr">
        <is>
          <t>ESTEVIN OKTAVIANTI</t>
        </is>
      </c>
      <c r="Q314" t="inlineStr">
        <is>
          <t>2. Baru</t>
        </is>
      </c>
      <c r="R314" t="n">
        <v>2</v>
      </c>
      <c r="V314" t="inlineStr">
        <is>
          <t>Pastikan kode KBLI sesuai dengan kode KBLI cakupan BPOM yang tertera dalam buku Pedoman</t>
        </is>
      </c>
      <c r="W314" t="n">
        <v>1</v>
      </c>
      <c r="AB314" t="inlineStr">
        <is>
          <t>7271020009001500</t>
        </is>
      </c>
      <c r="AC314" t="inlineStr">
        <is>
          <t>APPROVED BY Pengawas</t>
        </is>
      </c>
    </row>
    <row r="315">
      <c r="A315" t="inlineStr">
        <is>
          <t>07625563-7904-4a3f-aef1-709951e1c996</t>
        </is>
      </c>
      <c r="B315" t="n">
        <v>72</v>
      </c>
      <c r="C315" t="n">
        <v>71</v>
      </c>
      <c r="D315" t="n">
        <v>20</v>
      </c>
      <c r="E315" t="n">
        <v>9</v>
      </c>
      <c r="F315" t="n">
        <v>15</v>
      </c>
      <c r="G315" t="n">
        <v>0</v>
      </c>
      <c r="H315" t="n">
        <v>29351989</v>
      </c>
      <c r="I315" t="n">
        <v>10710</v>
      </c>
      <c r="J315" t="inlineStr">
        <is>
          <t>Industri Produk Bakeri</t>
        </is>
      </c>
      <c r="M315" t="inlineStr">
        <is>
          <t>ESTEVIN OKTAVIANTI</t>
        </is>
      </c>
      <c r="N315" t="inlineStr">
        <is>
          <t>JL. LEMBU I LORONG MUTIARA</t>
        </is>
      </c>
      <c r="Q315" t="inlineStr">
        <is>
          <t>0. Tidak Ditemukan</t>
        </is>
      </c>
      <c r="R315" t="n">
        <v>0</v>
      </c>
      <c r="V315" t="inlineStr">
        <is>
          <t>Pastikan sesuai kondisi lapangan</t>
        </is>
      </c>
      <c r="W315" t="n">
        <v>0</v>
      </c>
      <c r="AB315" t="inlineStr">
        <is>
          <t>7271020009001500</t>
        </is>
      </c>
      <c r="AC315" t="inlineStr">
        <is>
          <t>APPROVED BY Pengawas</t>
        </is>
      </c>
    </row>
    <row r="316">
      <c r="A316" t="inlineStr">
        <is>
          <t>17b8d49e-fd2e-4176-afa6-9ef814502dc2</t>
        </is>
      </c>
      <c r="B316" t="n">
        <v>72</v>
      </c>
      <c r="C316" t="n">
        <v>71</v>
      </c>
      <c r="D316" t="n">
        <v>30</v>
      </c>
      <c r="E316" t="n">
        <v>1</v>
      </c>
      <c r="F316" t="n">
        <v>1</v>
      </c>
      <c r="G316" t="n">
        <v>0</v>
      </c>
      <c r="H316" t="n">
        <v>26419220</v>
      </c>
      <c r="I316" t="n">
        <v>10303</v>
      </c>
      <c r="J316" t="inlineStr">
        <is>
          <t>Pengeringan Buah-buahan dan Sayuran</t>
        </is>
      </c>
      <c r="K316" t="n">
        <v>68112</v>
      </c>
      <c r="L316" t="inlineStr">
        <is>
          <t>Aktivitas Penyewaan Bangunan dan Lahan Hunian Milik Sendiri atau Sewa</t>
        </is>
      </c>
      <c r="M316" t="inlineStr">
        <is>
          <t>KOS ORANGE (NANANG)</t>
        </is>
      </c>
      <c r="N316" t="inlineStr">
        <is>
          <t>JL MULAWARMAN BESUSU BARAT -</t>
        </is>
      </c>
      <c r="O316" t="inlineStr">
        <is>
          <t>NANANG</t>
        </is>
      </c>
      <c r="Q316" t="inlineStr">
        <is>
          <t>2. Baru</t>
        </is>
      </c>
      <c r="R316" t="n">
        <v>2</v>
      </c>
      <c r="V316" t="inlineStr">
        <is>
          <t>Pastikan kode KBLI sesuai dengan kode KBLI cakupan BPOM yang tertera dalam buku Pedoman</t>
        </is>
      </c>
      <c r="W316" t="n">
        <v>0</v>
      </c>
      <c r="AB316" t="inlineStr">
        <is>
          <t>7271030001000100</t>
        </is>
      </c>
      <c r="AC316" t="inlineStr">
        <is>
          <t>APPROVED BY Pengawas</t>
        </is>
      </c>
    </row>
    <row r="317">
      <c r="A317" t="inlineStr">
        <is>
          <t>12dd8840-441a-4247-86c9-5683bf264ad0</t>
        </is>
      </c>
      <c r="B317" t="n">
        <v>72</v>
      </c>
      <c r="C317" t="n">
        <v>71</v>
      </c>
      <c r="D317" t="n">
        <v>30</v>
      </c>
      <c r="E317" t="n">
        <v>1</v>
      </c>
      <c r="F317" t="n">
        <v>1</v>
      </c>
      <c r="G317" t="n">
        <v>0</v>
      </c>
      <c r="H317" t="n">
        <v>26419220</v>
      </c>
      <c r="I317" t="n">
        <v>10303</v>
      </c>
      <c r="J317" t="inlineStr">
        <is>
          <t>Pengeringan Buah-buahan dan Sayuran</t>
        </is>
      </c>
      <c r="K317" t="n">
        <v>46522</v>
      </c>
      <c r="L317" t="inlineStr">
        <is>
          <t>Perdagangan Besar Disket, Flash Drive, Pita Audio dan Video, serta CD dan DVD Kosong</t>
        </is>
      </c>
      <c r="M317" t="inlineStr">
        <is>
          <t>TOKO SIMPLE NET</t>
        </is>
      </c>
      <c r="N317" t="inlineStr">
        <is>
          <t>JL SUHARSO BESUSU BARAT -</t>
        </is>
      </c>
      <c r="P317" t="inlineStr">
        <is>
          <t>9999</t>
        </is>
      </c>
      <c r="Q317" t="inlineStr">
        <is>
          <t>2. Baru</t>
        </is>
      </c>
      <c r="R317" t="n">
        <v>2</v>
      </c>
      <c r="V317" t="inlineStr">
        <is>
          <t>Pastikan kode KBLI sesuai dengan kode KBLI cakupan BPOM yang tertera dalam buku Pedoman</t>
        </is>
      </c>
      <c r="W317" t="n">
        <v>0</v>
      </c>
      <c r="AB317" t="inlineStr">
        <is>
          <t>7271030001000100</t>
        </is>
      </c>
      <c r="AC317" t="inlineStr">
        <is>
          <t>APPROVED BY Pengawas</t>
        </is>
      </c>
    </row>
    <row r="318">
      <c r="A318" t="inlineStr">
        <is>
          <t>58a71b83-8fbc-41e3-bc0f-60ac60888df8</t>
        </is>
      </c>
      <c r="B318" t="n">
        <v>72</v>
      </c>
      <c r="C318" t="n">
        <v>71</v>
      </c>
      <c r="D318" t="n">
        <v>30</v>
      </c>
      <c r="E318" t="n">
        <v>1</v>
      </c>
      <c r="F318" t="n">
        <v>1</v>
      </c>
      <c r="G318" t="n">
        <v>0</v>
      </c>
      <c r="H318" t="n">
        <v>26419220</v>
      </c>
      <c r="I318" t="n">
        <v>10303</v>
      </c>
      <c r="J318" t="inlineStr">
        <is>
          <t>Pengeringan Buah-buahan dan Sayuran</t>
        </is>
      </c>
      <c r="M318" t="inlineStr">
        <is>
          <t>CHANDRA WIJAYA SURYA BINARTO</t>
        </is>
      </c>
      <c r="N318" t="inlineStr">
        <is>
          <t>JL.MULAWARMAN 709</t>
        </is>
      </c>
      <c r="Q318" t="inlineStr">
        <is>
          <t>0. Tidak Ditemukan</t>
        </is>
      </c>
      <c r="R318" t="n">
        <v>0</v>
      </c>
      <c r="V318" t="inlineStr">
        <is>
          <t>Pastikan sesuai kondisi lapangan</t>
        </is>
      </c>
      <c r="W318" t="n">
        <v>0</v>
      </c>
      <c r="AB318" t="inlineStr">
        <is>
          <t>7271030001000100</t>
        </is>
      </c>
      <c r="AC318" t="inlineStr">
        <is>
          <t>APPROVED BY Pengawas</t>
        </is>
      </c>
    </row>
    <row r="319">
      <c r="A319" t="inlineStr">
        <is>
          <t>d4d84d59-adea-436b-8087-2fbbf5a6df46</t>
        </is>
      </c>
      <c r="B319" t="n">
        <v>72</v>
      </c>
      <c r="C319" t="n">
        <v>71</v>
      </c>
      <c r="D319" t="n">
        <v>30</v>
      </c>
      <c r="E319" t="n">
        <v>3</v>
      </c>
      <c r="F319" t="n">
        <v>11</v>
      </c>
      <c r="G319" t="n">
        <v>0</v>
      </c>
      <c r="H319" t="n">
        <v>43291740</v>
      </c>
      <c r="K319" t="n">
        <v>10710</v>
      </c>
      <c r="L319" t="inlineStr">
        <is>
          <t>Industri Produk Bakeri</t>
        </is>
      </c>
      <c r="M319" t="inlineStr">
        <is>
          <t>RUMAH ROTI MANGUNSAKORO</t>
        </is>
      </c>
      <c r="N319" t="inlineStr">
        <is>
          <t>JL. MANGUNSAKORO</t>
        </is>
      </c>
      <c r="P319" t="inlineStr">
        <is>
          <t>7271**********06</t>
        </is>
      </c>
      <c r="Q319" t="inlineStr">
        <is>
          <t>1. Ditemukan</t>
        </is>
      </c>
      <c r="R319" t="n">
        <v>1</v>
      </c>
      <c r="S319" t="inlineStr">
        <is>
          <t xml:space="preserve">1. Ya, oleh BPOM </t>
        </is>
      </c>
      <c r="T319" t="n">
        <v>1</v>
      </c>
      <c r="U319" t="n">
        <v>0</v>
      </c>
      <c r="W319" t="n">
        <v>1</v>
      </c>
      <c r="AB319" t="inlineStr">
        <is>
          <t>7271030003001100</t>
        </is>
      </c>
      <c r="AC319" t="inlineStr">
        <is>
          <t>APPROVED BY Pengawas</t>
        </is>
      </c>
    </row>
    <row r="320">
      <c r="A320" t="inlineStr">
        <is>
          <t>4f90d436-9479-4267-a5bd-6f6b3ef422af</t>
        </is>
      </c>
      <c r="B320" t="n">
        <v>72</v>
      </c>
      <c r="C320" t="n">
        <v>71</v>
      </c>
      <c r="D320" t="n">
        <v>30</v>
      </c>
      <c r="E320" t="n">
        <v>3</v>
      </c>
      <c r="F320" t="n">
        <v>12</v>
      </c>
      <c r="G320" t="n">
        <v>0</v>
      </c>
      <c r="H320" t="n">
        <v>27705904</v>
      </c>
      <c r="I320" t="n">
        <v>10710</v>
      </c>
      <c r="J320" t="inlineStr">
        <is>
          <t>Industri Produk Bakeri</t>
        </is>
      </c>
      <c r="M320" t="inlineStr">
        <is>
          <t>ASMIN H</t>
        </is>
      </c>
      <c r="N320" t="inlineStr">
        <is>
          <t>JL. OTISTA NO 57</t>
        </is>
      </c>
      <c r="Q320" t="inlineStr">
        <is>
          <t>0. Tidak Ditemukan</t>
        </is>
      </c>
      <c r="R320" t="n">
        <v>0</v>
      </c>
      <c r="V320" t="inlineStr">
        <is>
          <t>Pastikan sesuai kondisi lapangan</t>
        </is>
      </c>
      <c r="W320" t="n">
        <v>0</v>
      </c>
      <c r="AB320" t="inlineStr">
        <is>
          <t>7271030003001200</t>
        </is>
      </c>
      <c r="AC320" t="inlineStr">
        <is>
          <t>APPROVED BY Pengawas</t>
        </is>
      </c>
    </row>
    <row r="321">
      <c r="A321" t="inlineStr">
        <is>
          <t>c225c4af-5081-4b7f-8883-97525b8c05e8</t>
        </is>
      </c>
      <c r="B321" t="n">
        <v>72</v>
      </c>
      <c r="C321" t="n">
        <v>71</v>
      </c>
      <c r="D321" t="n">
        <v>30</v>
      </c>
      <c r="E321" t="n">
        <v>3</v>
      </c>
      <c r="F321" t="n">
        <v>14</v>
      </c>
      <c r="G321" t="n">
        <v>0</v>
      </c>
      <c r="H321" t="n">
        <v>41993420</v>
      </c>
      <c r="M321" t="inlineStr">
        <is>
          <t>BANUA PERTANIAN official</t>
        </is>
      </c>
      <c r="N321" t="inlineStr">
        <is>
          <t>Jl. Slamet Riyadi Lorong 2, Besusu Tengah, Kec. Palu Tim., Kota Palu, Sulawesi Tengah 94118</t>
        </is>
      </c>
      <c r="Q321" t="inlineStr">
        <is>
          <t>0. Tidak Ditemukan</t>
        </is>
      </c>
      <c r="R321" t="n">
        <v>0</v>
      </c>
      <c r="V321" t="inlineStr">
        <is>
          <t>Pastikan sesuai kondisi lapangan</t>
        </is>
      </c>
      <c r="W321" t="n">
        <v>0</v>
      </c>
      <c r="AB321" t="inlineStr">
        <is>
          <t>7271030003001400</t>
        </is>
      </c>
      <c r="AC321" t="inlineStr">
        <is>
          <t>SUBMITTED BY Pencacah</t>
        </is>
      </c>
    </row>
    <row r="322">
      <c r="A322" t="inlineStr">
        <is>
          <t>8554a78d-b3ca-4825-845f-aead2d5fed2e</t>
        </is>
      </c>
      <c r="B322" t="n">
        <v>72</v>
      </c>
      <c r="C322" t="n">
        <v>71</v>
      </c>
      <c r="D322" t="n">
        <v>30</v>
      </c>
      <c r="E322" t="n">
        <v>4</v>
      </c>
      <c r="F322" t="n">
        <v>6</v>
      </c>
      <c r="G322" t="n">
        <v>1</v>
      </c>
      <c r="H322" t="n">
        <v>57604338</v>
      </c>
      <c r="M322" t="inlineStr">
        <is>
          <t>PT DOS-NI-ROHA CABANG PALU</t>
        </is>
      </c>
      <c r="N322" t="inlineStr">
        <is>
          <t>Jl. Gunung Nokilalaki No. 36</t>
        </is>
      </c>
      <c r="Q322" t="inlineStr">
        <is>
          <t>0. Tidak Ditemukan</t>
        </is>
      </c>
      <c r="R322" t="n">
        <v>0</v>
      </c>
      <c r="V322" t="inlineStr">
        <is>
          <t>Pastikan sesuai kondisi lapangan</t>
        </is>
      </c>
      <c r="W322" t="n">
        <v>0</v>
      </c>
      <c r="AB322" t="inlineStr">
        <is>
          <t>7271030004000601</t>
        </is>
      </c>
      <c r="AC322" t="inlineStr">
        <is>
          <t>APPROVED BY Pengawas</t>
        </is>
      </c>
    </row>
    <row r="323">
      <c r="A323" t="inlineStr">
        <is>
          <t>4afd3d00-5fe5-4033-931f-414fe2069a93</t>
        </is>
      </c>
      <c r="B323" t="n">
        <v>72</v>
      </c>
      <c r="C323" t="n">
        <v>71</v>
      </c>
      <c r="D323" t="n">
        <v>30</v>
      </c>
      <c r="E323" t="n">
        <v>4</v>
      </c>
      <c r="F323" t="n">
        <v>12</v>
      </c>
      <c r="G323" t="n">
        <v>0</v>
      </c>
      <c r="H323" t="n">
        <v>26296971</v>
      </c>
      <c r="I323" t="n">
        <v>10710</v>
      </c>
      <c r="J323" t="inlineStr">
        <is>
          <t>Industri Produk Bakeri</t>
        </is>
      </c>
      <c r="K323" t="n">
        <v>68112</v>
      </c>
      <c r="L323" t="inlineStr">
        <is>
          <t>Aktivitas Penyewaan Bangunan dan Lahan Hunian Milik Sendiri atau Sewa</t>
        </is>
      </c>
      <c r="M323" t="inlineStr">
        <is>
          <t>KOS</t>
        </is>
      </c>
      <c r="N323" t="inlineStr">
        <is>
          <t>JLN TELUK TOLO 0</t>
        </is>
      </c>
      <c r="O323" t="inlineStr">
        <is>
          <t>HERNAWATI MINGGU</t>
        </is>
      </c>
      <c r="Q323" t="inlineStr">
        <is>
          <t>2. Baru</t>
        </is>
      </c>
      <c r="R323" t="n">
        <v>2</v>
      </c>
      <c r="V323" t="inlineStr">
        <is>
          <t>Pastikan kode KBLI sesuai dengan kode KBLI cakupan BPOM yang tertera dalam buku Pedoman</t>
        </is>
      </c>
      <c r="W323" t="n">
        <v>0</v>
      </c>
      <c r="AB323" t="inlineStr">
        <is>
          <t>7271030004001200</t>
        </is>
      </c>
      <c r="AC323" t="inlineStr">
        <is>
          <t>APPROVED BY Pengawas</t>
        </is>
      </c>
    </row>
    <row r="324">
      <c r="A324" t="inlineStr">
        <is>
          <t>aef4d593-8f33-4f97-831f-0f0b387353e5</t>
        </is>
      </c>
      <c r="B324" t="n">
        <v>72</v>
      </c>
      <c r="C324" t="n">
        <v>71</v>
      </c>
      <c r="D324" t="n">
        <v>30</v>
      </c>
      <c r="E324" t="n">
        <v>5</v>
      </c>
      <c r="F324" t="n">
        <v>29</v>
      </c>
      <c r="G324" t="n">
        <v>0</v>
      </c>
      <c r="H324" t="n">
        <v>31861202</v>
      </c>
      <c r="I324" t="n">
        <v>10212</v>
      </c>
      <c r="J324" t="inlineStr">
        <is>
          <t>Pengolahan dan Pengawetan Ikan dengan Pengasapan atau Pemanggangan</t>
        </is>
      </c>
      <c r="K324" t="n">
        <v>10218</v>
      </c>
      <c r="L324" t="inlineStr">
        <is>
          <t>Pengolahan dan Pengawetan Ikan Menjadi Produk Olahan</t>
        </is>
      </c>
      <c r="M324" t="inlineStr">
        <is>
          <t xml:space="preserve">IKAN SUIR </t>
        </is>
      </c>
      <c r="N324" t="inlineStr">
        <is>
          <t>JL KARTINI 74</t>
        </is>
      </c>
      <c r="O324" t="inlineStr">
        <is>
          <t>IRMA MEIKE ROMPAS</t>
        </is>
      </c>
      <c r="Q324" t="inlineStr">
        <is>
          <t>2. Baru</t>
        </is>
      </c>
      <c r="R324" t="n">
        <v>2</v>
      </c>
      <c r="V324" t="inlineStr">
        <is>
          <t>Pastikan kode KBLI sesuai dengan kode KBLI cakupan BPOM yang tertera dalam buku Pedoman</t>
        </is>
      </c>
      <c r="W324" t="n">
        <v>0</v>
      </c>
      <c r="AB324" t="inlineStr">
        <is>
          <t>7271030005002900</t>
        </is>
      </c>
      <c r="AC324" t="inlineStr">
        <is>
          <t>SUBMITTED BY Pencacah</t>
        </is>
      </c>
    </row>
    <row r="325">
      <c r="A325" t="inlineStr">
        <is>
          <t>e235334c-8ff5-43df-9ec3-918d9ddb9124</t>
        </is>
      </c>
      <c r="B325" t="n">
        <v>72</v>
      </c>
      <c r="C325" t="n">
        <v>71</v>
      </c>
      <c r="D325" t="n">
        <v>31</v>
      </c>
      <c r="E325" t="n">
        <v>1</v>
      </c>
      <c r="F325" t="n">
        <v>1</v>
      </c>
      <c r="G325" t="n">
        <v>0</v>
      </c>
      <c r="H325" t="n">
        <v>29044716</v>
      </c>
      <c r="I325" t="n">
        <v>10219</v>
      </c>
      <c r="J325" t="inlineStr">
        <is>
          <t>Pengolahan dan Pengawetan Ikan dengan Metode Lainnya</t>
        </is>
      </c>
      <c r="M325" t="inlineStr">
        <is>
          <t>SEPTIN DWI NITA</t>
        </is>
      </c>
      <c r="N325" t="inlineStr">
        <is>
          <t>JL.KOMODO NO 11C</t>
        </is>
      </c>
      <c r="Q325" t="inlineStr">
        <is>
          <t>0. Tidak Ditemukan</t>
        </is>
      </c>
      <c r="R325" t="n">
        <v>0</v>
      </c>
      <c r="V325" t="inlineStr">
        <is>
          <t>Pastikan sesuai kondisi lapangan</t>
        </is>
      </c>
      <c r="W325" t="n">
        <v>0</v>
      </c>
      <c r="AB325" t="inlineStr">
        <is>
          <t>7271031001000100</t>
        </is>
      </c>
      <c r="AC325" t="inlineStr">
        <is>
          <t>APPROVED BY Pengawas</t>
        </is>
      </c>
    </row>
    <row r="326">
      <c r="A326" t="inlineStr">
        <is>
          <t>4d7f0ef4-5269-48bf-a097-95475d3be8d4</t>
        </is>
      </c>
      <c r="B326" t="n">
        <v>72</v>
      </c>
      <c r="C326" t="n">
        <v>71</v>
      </c>
      <c r="D326" t="n">
        <v>31</v>
      </c>
      <c r="E326" t="n">
        <v>1</v>
      </c>
      <c r="F326" t="n">
        <v>1</v>
      </c>
      <c r="G326" t="n">
        <v>0</v>
      </c>
      <c r="H326" t="n">
        <v>28211886</v>
      </c>
      <c r="I326" t="n">
        <v>10750</v>
      </c>
      <c r="J326" t="inlineStr">
        <is>
          <t>Industri Makanan dan Masakan Olahan</t>
        </is>
      </c>
      <c r="M326" t="inlineStr">
        <is>
          <t>SAWIAH AMBOTUO</t>
        </is>
      </c>
      <c r="N326" t="inlineStr">
        <is>
          <t xml:space="preserve">JL. KOMODO NO. 11 C </t>
        </is>
      </c>
      <c r="Q326" t="inlineStr">
        <is>
          <t>0. Tidak Ditemukan</t>
        </is>
      </c>
      <c r="R326" t="n">
        <v>0</v>
      </c>
      <c r="V326" t="inlineStr">
        <is>
          <t>Pastikan sesuai kondisi lapangan</t>
        </is>
      </c>
      <c r="W326" t="n">
        <v>0</v>
      </c>
      <c r="AB326" t="inlineStr">
        <is>
          <t>7271031001000100</t>
        </is>
      </c>
      <c r="AC326" t="inlineStr">
        <is>
          <t>APPROVED BY Pengawas</t>
        </is>
      </c>
    </row>
    <row r="327">
      <c r="A327" t="inlineStr">
        <is>
          <t>72a63df3-e667-4c90-b385-3c74a288d1fa</t>
        </is>
      </c>
      <c r="B327" t="n">
        <v>72</v>
      </c>
      <c r="C327" t="n">
        <v>71</v>
      </c>
      <c r="D327" t="n">
        <v>31</v>
      </c>
      <c r="E327" t="n">
        <v>1</v>
      </c>
      <c r="F327" t="n">
        <v>2</v>
      </c>
      <c r="G327" t="n">
        <v>0</v>
      </c>
      <c r="H327" t="n">
        <v>32444615</v>
      </c>
      <c r="I327" t="n">
        <v>10794</v>
      </c>
      <c r="J327" t="inlineStr">
        <is>
          <t>Industri Kerupuk, Keripik, Peyek, dan Sejenisnya</t>
        </is>
      </c>
      <c r="M327" t="inlineStr">
        <is>
          <t>HANI SITI ROHANI</t>
        </is>
      </c>
      <c r="N327" t="inlineStr">
        <is>
          <t>JL. DR. SAMRATULANGI LRG.V NO. 18</t>
        </is>
      </c>
      <c r="Q327" t="inlineStr">
        <is>
          <t>0. Tidak Ditemukan</t>
        </is>
      </c>
      <c r="R327" t="n">
        <v>0</v>
      </c>
      <c r="V327" t="inlineStr">
        <is>
          <t>Pastikan sesuai kondisi lapangan</t>
        </is>
      </c>
      <c r="W327" t="n">
        <v>0</v>
      </c>
      <c r="AB327" t="inlineStr">
        <is>
          <t>7271031001000200</t>
        </is>
      </c>
      <c r="AC327" t="inlineStr">
        <is>
          <t>APPROVED BY Pengawas</t>
        </is>
      </c>
    </row>
    <row r="328">
      <c r="A328" t="inlineStr">
        <is>
          <t>fa65f9d2-40b0-49d9-88d2-81bbf386a8eb</t>
        </is>
      </c>
      <c r="B328" t="n">
        <v>72</v>
      </c>
      <c r="C328" t="n">
        <v>71</v>
      </c>
      <c r="D328" t="n">
        <v>31</v>
      </c>
      <c r="E328" t="n">
        <v>1</v>
      </c>
      <c r="F328" t="n">
        <v>8</v>
      </c>
      <c r="G328" t="n">
        <v>1</v>
      </c>
      <c r="H328" t="n">
        <v>31272851</v>
      </c>
      <c r="I328" t="n">
        <v>10422</v>
      </c>
      <c r="J328" t="inlineStr">
        <is>
          <t>Industri Minyak Mentah Kelapa</t>
        </is>
      </c>
      <c r="M328" t="inlineStr">
        <is>
          <t>MOH.RIZALDI</t>
        </is>
      </c>
      <c r="N328" t="inlineStr">
        <is>
          <t>JL.YOS SUDARSO GANG II NO 23 B</t>
        </is>
      </c>
      <c r="Q328" t="inlineStr">
        <is>
          <t>0. Tidak Ditemukan</t>
        </is>
      </c>
      <c r="R328" t="n">
        <v>0</v>
      </c>
      <c r="V328" t="inlineStr">
        <is>
          <t>Pastikan sesuai kondisi lapangan</t>
        </is>
      </c>
      <c r="W328" t="n">
        <v>0</v>
      </c>
      <c r="AB328" t="inlineStr">
        <is>
          <t>7271031001000801</t>
        </is>
      </c>
      <c r="AC328" t="inlineStr">
        <is>
          <t>APPROVED BY Pengawas</t>
        </is>
      </c>
    </row>
    <row r="329">
      <c r="A329" t="inlineStr">
        <is>
          <t>1d6c0bf2-2e02-4511-9510-0b894a2bc040</t>
        </is>
      </c>
      <c r="B329" t="n">
        <v>72</v>
      </c>
      <c r="C329" t="n">
        <v>71</v>
      </c>
      <c r="D329" t="n">
        <v>31</v>
      </c>
      <c r="E329" t="n">
        <v>1</v>
      </c>
      <c r="F329" t="n">
        <v>27</v>
      </c>
      <c r="G329" t="n">
        <v>2</v>
      </c>
      <c r="H329" t="n">
        <v>41993983</v>
      </c>
      <c r="M329" t="inlineStr">
        <is>
          <t>Cafe Sebelah</t>
        </is>
      </c>
      <c r="N329" t="inlineStr">
        <is>
          <t>Jl. Yos Sudarso No.15b, Talise, Kec. Mantikulore, Kota Palu, Sulawesi Tengah 94116</t>
        </is>
      </c>
      <c r="Q329" t="inlineStr">
        <is>
          <t>0. Tidak Ditemukan</t>
        </is>
      </c>
      <c r="R329" t="n">
        <v>0</v>
      </c>
      <c r="V329" t="inlineStr">
        <is>
          <t>Pastikan sesuai kondisi lapangan</t>
        </is>
      </c>
      <c r="W329" t="n">
        <v>0</v>
      </c>
      <c r="AB329" t="inlineStr">
        <is>
          <t>7271031001002702</t>
        </is>
      </c>
      <c r="AC329" t="inlineStr">
        <is>
          <t>APPROVED BY Pengawas</t>
        </is>
      </c>
    </row>
    <row r="330">
      <c r="A330" t="inlineStr">
        <is>
          <t>f20ac97d-4531-4e8e-b650-fb7f933dbe0e</t>
        </is>
      </c>
      <c r="B330" t="n">
        <v>72</v>
      </c>
      <c r="C330" t="n">
        <v>71</v>
      </c>
      <c r="D330" t="n">
        <v>31</v>
      </c>
      <c r="E330" t="n">
        <v>1</v>
      </c>
      <c r="F330" t="n">
        <v>32</v>
      </c>
      <c r="G330" t="n">
        <v>0</v>
      </c>
      <c r="H330" t="n">
        <v>29921096</v>
      </c>
      <c r="I330" t="n">
        <v>10710</v>
      </c>
      <c r="J330" t="inlineStr">
        <is>
          <t>Industri Produk Bakeri</t>
        </is>
      </c>
      <c r="M330" t="inlineStr">
        <is>
          <t>MUDITA WANDY</t>
        </is>
      </c>
      <c r="N330" t="inlineStr">
        <is>
          <t>JLN SUPRAPTO NO 10</t>
        </is>
      </c>
      <c r="Q330" t="inlineStr">
        <is>
          <t>0. Tidak Ditemukan</t>
        </is>
      </c>
      <c r="R330" t="n">
        <v>0</v>
      </c>
      <c r="V330" t="inlineStr">
        <is>
          <t>Pastikan sesuai kondisi lapangan</t>
        </is>
      </c>
      <c r="W330" t="n">
        <v>0</v>
      </c>
      <c r="AB330" t="inlineStr">
        <is>
          <t>7271031001003200</t>
        </is>
      </c>
      <c r="AC330" t="inlineStr">
        <is>
          <t>APPROVED BY Pengawas</t>
        </is>
      </c>
    </row>
    <row r="331">
      <c r="A331" t="inlineStr">
        <is>
          <t>0aafc4ad-3577-43db-8001-7445324733f3</t>
        </is>
      </c>
      <c r="B331" t="n">
        <v>72</v>
      </c>
      <c r="C331" t="n">
        <v>71</v>
      </c>
      <c r="D331" t="n">
        <v>31</v>
      </c>
      <c r="E331" t="n">
        <v>2</v>
      </c>
      <c r="F331" t="n">
        <v>6</v>
      </c>
      <c r="G331" t="n">
        <v>1</v>
      </c>
      <c r="H331" t="n">
        <v>31912830</v>
      </c>
      <c r="I331" t="n">
        <v>10303</v>
      </c>
      <c r="J331" t="inlineStr">
        <is>
          <t>Pengeringan Buah-buahan dan Sayuran</t>
        </is>
      </c>
      <c r="M331" t="inlineStr">
        <is>
          <t>THAMRIN THALIB</t>
        </is>
      </c>
      <c r="N331" t="inlineStr">
        <is>
          <t>JL. LAGARUTU NO.25.G</t>
        </is>
      </c>
      <c r="Q331" t="inlineStr">
        <is>
          <t>0. Tidak Ditemukan</t>
        </is>
      </c>
      <c r="R331" t="n">
        <v>0</v>
      </c>
      <c r="V331" t="inlineStr">
        <is>
          <t>Pastikan sesuai kondisi lapangan</t>
        </is>
      </c>
      <c r="W331" t="n">
        <v>0</v>
      </c>
      <c r="AB331" t="inlineStr">
        <is>
          <t>7271031002000601</t>
        </is>
      </c>
      <c r="AC331" t="inlineStr">
        <is>
          <t>APPROVED BY Pengawas</t>
        </is>
      </c>
    </row>
    <row r="332">
      <c r="A332" t="inlineStr">
        <is>
          <t>0d001d12-4600-4576-a415-e355841f7f12</t>
        </is>
      </c>
      <c r="B332" t="n">
        <v>72</v>
      </c>
      <c r="C332" t="n">
        <v>71</v>
      </c>
      <c r="D332" t="n">
        <v>31</v>
      </c>
      <c r="E332" t="n">
        <v>2</v>
      </c>
      <c r="F332" t="n">
        <v>26</v>
      </c>
      <c r="G332" t="n">
        <v>0</v>
      </c>
      <c r="H332" t="n">
        <v>32371068</v>
      </c>
      <c r="I332" t="n">
        <v>10739</v>
      </c>
      <c r="J332" t="inlineStr">
        <is>
          <t>Industri Kembang Gula Lainnya</t>
        </is>
      </c>
      <c r="M332" t="inlineStr">
        <is>
          <t>YUSUF PRATAMA DEWANTORO. A. N</t>
        </is>
      </c>
      <c r="N332" t="inlineStr">
        <is>
          <t>JL. CENDRAWASIH NO. 41 B PALU</t>
        </is>
      </c>
      <c r="Q332" t="inlineStr">
        <is>
          <t>0. Tidak Ditemukan</t>
        </is>
      </c>
      <c r="R332" t="n">
        <v>0</v>
      </c>
      <c r="V332" t="inlineStr">
        <is>
          <t>Pastikan sesuai kondisi lapangan</t>
        </is>
      </c>
      <c r="W332" t="n">
        <v>0</v>
      </c>
      <c r="AB332" t="inlineStr">
        <is>
          <t>7271031002002600</t>
        </is>
      </c>
      <c r="AC332" t="inlineStr">
        <is>
          <t>APPROVED BY Pengawas</t>
        </is>
      </c>
    </row>
    <row r="333">
      <c r="A333" t="inlineStr">
        <is>
          <t>3d9dc655-4257-4d0e-8548-305676c2aa4d</t>
        </is>
      </c>
      <c r="B333" t="n">
        <v>72</v>
      </c>
      <c r="C333" t="n">
        <v>71</v>
      </c>
      <c r="D333" t="n">
        <v>31</v>
      </c>
      <c r="E333" t="n">
        <v>2</v>
      </c>
      <c r="F333" t="n">
        <v>33</v>
      </c>
      <c r="G333" t="n">
        <v>0</v>
      </c>
      <c r="H333" t="n">
        <v>30621353</v>
      </c>
      <c r="I333" t="n">
        <v>10710</v>
      </c>
      <c r="J333" t="inlineStr">
        <is>
          <t>Industri Produk Bakeri</t>
        </is>
      </c>
      <c r="M333" t="inlineStr">
        <is>
          <t>RISTUTI</t>
        </is>
      </c>
      <c r="N333" t="inlineStr">
        <is>
          <t>JL. KAKATUA NO. 41</t>
        </is>
      </c>
      <c r="Q333" t="inlineStr">
        <is>
          <t>0. Tidak Ditemukan</t>
        </is>
      </c>
      <c r="R333" t="n">
        <v>0</v>
      </c>
      <c r="V333" t="inlineStr">
        <is>
          <t>Pastikan sesuai kondisi lapangan</t>
        </is>
      </c>
      <c r="W333" t="n">
        <v>0</v>
      </c>
      <c r="AB333" t="inlineStr">
        <is>
          <t>7271031002003300</t>
        </is>
      </c>
      <c r="AC333" t="inlineStr">
        <is>
          <t>SUBMITTED BY Pencacah</t>
        </is>
      </c>
    </row>
    <row r="334">
      <c r="A334" t="inlineStr">
        <is>
          <t>efeb8ed3-2e64-4128-b740-cd04b383e5c4</t>
        </is>
      </c>
      <c r="B334" t="n">
        <v>72</v>
      </c>
      <c r="C334" t="n">
        <v>71</v>
      </c>
      <c r="D334" t="n">
        <v>31</v>
      </c>
      <c r="E334" t="n">
        <v>3</v>
      </c>
      <c r="F334" t="n">
        <v>24</v>
      </c>
      <c r="G334" t="n">
        <v>0</v>
      </c>
      <c r="H334" t="n">
        <v>32434416</v>
      </c>
      <c r="I334" t="n">
        <v>10750</v>
      </c>
      <c r="J334" t="inlineStr">
        <is>
          <t>Industri Makanan dan Masakan Olahan</t>
        </is>
      </c>
      <c r="M334" t="inlineStr">
        <is>
          <t>ROSMAYANI SABANG</t>
        </is>
      </c>
      <c r="N334" t="inlineStr">
        <is>
          <t>BTN LASOANI E 1/9</t>
        </is>
      </c>
      <c r="Q334" t="inlineStr">
        <is>
          <t>0. Tidak Ditemukan</t>
        </is>
      </c>
      <c r="R334" t="n">
        <v>0</v>
      </c>
      <c r="V334" t="inlineStr">
        <is>
          <t>Pastikan sesuai kondisi lapangan</t>
        </is>
      </c>
      <c r="W334" t="n">
        <v>0</v>
      </c>
      <c r="AB334" t="inlineStr">
        <is>
          <t>7271031003002400</t>
        </is>
      </c>
      <c r="AC334" t="inlineStr">
        <is>
          <t>SUBMITTED BY Pencacah</t>
        </is>
      </c>
    </row>
    <row r="335">
      <c r="A335" t="inlineStr">
        <is>
          <t>e1c4c683-529f-48af-a813-206c5b7d124a</t>
        </is>
      </c>
      <c r="B335" t="n">
        <v>72</v>
      </c>
      <c r="C335" t="n">
        <v>71</v>
      </c>
      <c r="D335" t="n">
        <v>31</v>
      </c>
      <c r="E335" t="n">
        <v>3</v>
      </c>
      <c r="F335" t="n">
        <v>26</v>
      </c>
      <c r="G335" t="n">
        <v>0</v>
      </c>
      <c r="H335" t="n">
        <v>29192255</v>
      </c>
      <c r="I335" t="n">
        <v>10710</v>
      </c>
      <c r="J335" t="inlineStr">
        <is>
          <t>Industri Produk Bakeri</t>
        </is>
      </c>
      <c r="M335" t="inlineStr">
        <is>
          <t>FEBRIANI GUNAWAN</t>
        </is>
      </c>
      <c r="N335" t="inlineStr">
        <is>
          <t>BTN LASOANI BLOK M3 NO.17</t>
        </is>
      </c>
      <c r="Q335" t="inlineStr">
        <is>
          <t>0. Tidak Ditemukan</t>
        </is>
      </c>
      <c r="R335" t="n">
        <v>0</v>
      </c>
      <c r="V335" t="inlineStr">
        <is>
          <t>Pastikan sesuai kondisi lapangan</t>
        </is>
      </c>
      <c r="W335" t="n">
        <v>0</v>
      </c>
      <c r="AB335" t="inlineStr">
        <is>
          <t>7271031003002600</t>
        </is>
      </c>
      <c r="AC335" t="inlineStr">
        <is>
          <t>SUBMITTED BY Pencacah</t>
        </is>
      </c>
    </row>
    <row r="336">
      <c r="A336" t="inlineStr">
        <is>
          <t>6c543296-8bb0-4636-b363-42f4a0aa1248</t>
        </is>
      </c>
      <c r="B336" t="n">
        <v>72</v>
      </c>
      <c r="C336" t="n">
        <v>71</v>
      </c>
      <c r="D336" t="n">
        <v>31</v>
      </c>
      <c r="E336" t="n">
        <v>3</v>
      </c>
      <c r="F336" t="n">
        <v>31</v>
      </c>
      <c r="G336" t="n">
        <v>1</v>
      </c>
      <c r="H336" t="n">
        <v>32437270</v>
      </c>
      <c r="I336" t="n">
        <v>10710</v>
      </c>
      <c r="J336" t="inlineStr">
        <is>
          <t>Industri Produk Bakeri</t>
        </is>
      </c>
      <c r="K336" t="n">
        <v>10710</v>
      </c>
      <c r="L336" t="inlineStr">
        <is>
          <t>Industri Produk Bakeri</t>
        </is>
      </c>
      <c r="M336" t="inlineStr">
        <is>
          <t>ROTI DC</t>
        </is>
      </c>
      <c r="N336" t="inlineStr">
        <is>
          <t>JLN MALEO LRG KASUARI</t>
        </is>
      </c>
      <c r="P336" t="inlineStr">
        <is>
          <t>7271**********02</t>
        </is>
      </c>
      <c r="Q336" t="inlineStr">
        <is>
          <t>1. Ditemukan</t>
        </is>
      </c>
      <c r="R336" t="n">
        <v>1</v>
      </c>
      <c r="S336" t="inlineStr">
        <is>
          <t>2. Ya, bukan oleh BPOM</t>
        </is>
      </c>
      <c r="U336" t="n">
        <v>7</v>
      </c>
      <c r="W336" t="n">
        <v>1</v>
      </c>
      <c r="AB336" t="inlineStr">
        <is>
          <t>7271031003003101</t>
        </is>
      </c>
      <c r="AC336" t="inlineStr">
        <is>
          <t>APPROVED BY Pengawas</t>
        </is>
      </c>
    </row>
    <row r="337">
      <c r="A337" t="inlineStr">
        <is>
          <t>4ca11b4d-d980-4ca8-b652-26112d6556f7</t>
        </is>
      </c>
      <c r="B337" t="n">
        <v>72</v>
      </c>
      <c r="C337" t="n">
        <v>71</v>
      </c>
      <c r="D337" t="n">
        <v>31</v>
      </c>
      <c r="E337" t="n">
        <v>3</v>
      </c>
      <c r="F337" t="n">
        <v>35</v>
      </c>
      <c r="G337" t="n">
        <v>1</v>
      </c>
      <c r="H337" t="n">
        <v>58046546</v>
      </c>
      <c r="I337" t="n">
        <v>10794</v>
      </c>
      <c r="J337" t="inlineStr">
        <is>
          <t>Industri Kerupuk, Keripik, Peyek, dan Sejenisnya</t>
        </is>
      </c>
      <c r="M337" t="inlineStr">
        <is>
          <t>NIKMA AMIRI</t>
        </is>
      </c>
      <c r="N337" t="inlineStr">
        <is>
          <t>JL. MERPATI BTN MAHKOTA INDAH II BLOK CENDANA NO. 11Mantikulore</t>
        </is>
      </c>
      <c r="Q337" t="inlineStr">
        <is>
          <t>0. Tidak Ditemukan</t>
        </is>
      </c>
      <c r="R337" t="n">
        <v>0</v>
      </c>
      <c r="V337" t="inlineStr">
        <is>
          <t>Pastikan sesuai kondisi lapangan</t>
        </is>
      </c>
      <c r="W337" t="n">
        <v>0</v>
      </c>
      <c r="AB337" t="inlineStr">
        <is>
          <t>7271031003003501</t>
        </is>
      </c>
      <c r="AC337" t="inlineStr">
        <is>
          <t>SUBMITTED BY Pencacah</t>
        </is>
      </c>
    </row>
    <row r="338">
      <c r="A338" t="inlineStr">
        <is>
          <t>233164ae-46ae-4c34-8c06-ea9d5a581148</t>
        </is>
      </c>
      <c r="B338" t="n">
        <v>72</v>
      </c>
      <c r="C338" t="n">
        <v>71</v>
      </c>
      <c r="D338" t="n">
        <v>31</v>
      </c>
      <c r="E338" t="n">
        <v>3</v>
      </c>
      <c r="F338" t="n">
        <v>36</v>
      </c>
      <c r="G338" t="n">
        <v>0</v>
      </c>
      <c r="H338" t="n">
        <v>26189501</v>
      </c>
      <c r="I338" t="n">
        <v>10303</v>
      </c>
      <c r="J338" t="inlineStr">
        <is>
          <t>Pengeringan Buah-buahan dan Sayuran</t>
        </is>
      </c>
      <c r="M338" t="inlineStr">
        <is>
          <t>SILVANA LOLONTO</t>
        </is>
      </c>
      <c r="N338" t="inlineStr">
        <is>
          <t>JL. MERPATI BTN MAHKOTA INDAH NO. 31 PALU</t>
        </is>
      </c>
      <c r="Q338" t="inlineStr">
        <is>
          <t>0. Tidak Ditemukan</t>
        </is>
      </c>
      <c r="R338" t="n">
        <v>0</v>
      </c>
      <c r="V338" t="inlineStr">
        <is>
          <t>Pastikan sesuai kondisi lapangan</t>
        </is>
      </c>
      <c r="W338" t="n">
        <v>0</v>
      </c>
      <c r="AB338" t="inlineStr">
        <is>
          <t>7271031003003600</t>
        </is>
      </c>
      <c r="AC338" t="inlineStr">
        <is>
          <t>SUBMITTED BY Pencacah</t>
        </is>
      </c>
    </row>
    <row r="339">
      <c r="A339" t="inlineStr">
        <is>
          <t>60f24b1d-3e5b-4d92-ace1-b891d0a02ccc</t>
        </is>
      </c>
      <c r="B339" t="n">
        <v>72</v>
      </c>
      <c r="C339" t="n">
        <v>71</v>
      </c>
      <c r="D339" t="n">
        <v>31</v>
      </c>
      <c r="E339" t="n">
        <v>6</v>
      </c>
      <c r="F339" t="n">
        <v>44</v>
      </c>
      <c r="G339" t="n">
        <v>2</v>
      </c>
      <c r="H339" t="n">
        <v>30120804</v>
      </c>
      <c r="I339" t="n">
        <v>11059</v>
      </c>
      <c r="J339" t="inlineStr">
        <is>
          <t>Industri Minuman Lainnya</t>
        </is>
      </c>
      <c r="M339" t="inlineStr">
        <is>
          <t>NASLI</t>
        </is>
      </c>
      <c r="N339" t="inlineStr">
        <is>
          <t>JL. SIMPOTOVE BARAT 3, BLOK C, NO. 20</t>
        </is>
      </c>
      <c r="Q339" t="inlineStr">
        <is>
          <t>0. Tidak Ditemukan</t>
        </is>
      </c>
      <c r="R339" t="n">
        <v>0</v>
      </c>
      <c r="V339" t="inlineStr">
        <is>
          <t>Pastikan sesuai kondisi lapangan</t>
        </is>
      </c>
      <c r="W339" t="n">
        <v>0</v>
      </c>
      <c r="AB339" t="inlineStr">
        <is>
          <t>7271031006004402</t>
        </is>
      </c>
      <c r="AC339" t="inlineStr">
        <is>
          <t>APPROVED BY Pengawas</t>
        </is>
      </c>
    </row>
    <row r="340">
      <c r="A340" t="inlineStr">
        <is>
          <t>e3fa89e9-8a82-4d66-90f5-9a7a37bc90a4</t>
        </is>
      </c>
      <c r="B340" t="n">
        <v>72</v>
      </c>
      <c r="C340" t="n">
        <v>71</v>
      </c>
      <c r="D340" t="n">
        <v>31</v>
      </c>
      <c r="E340" t="n">
        <v>6</v>
      </c>
      <c r="F340" t="n">
        <v>44</v>
      </c>
      <c r="G340" t="n">
        <v>2</v>
      </c>
      <c r="H340" t="n">
        <v>30120804</v>
      </c>
      <c r="I340" t="n">
        <v>11059</v>
      </c>
      <c r="J340" t="inlineStr">
        <is>
          <t>Industri Minuman Lainnya</t>
        </is>
      </c>
      <c r="K340" t="n">
        <v>10794</v>
      </c>
      <c r="L340" t="inlineStr">
        <is>
          <t>Industri Kerupuk, Keripik, Peyek, dan Sejenisnya</t>
        </is>
      </c>
      <c r="M340" t="inlineStr">
        <is>
          <t>WANITA BANGKIT &lt;NASLI&gt;</t>
        </is>
      </c>
      <c r="N340" t="inlineStr">
        <is>
          <t>JL. SIMPOTOVE, PERUMAHAN CINTA KASIH ( HUNTAP 1 TONDO ) BLOK C GENAP C-20</t>
        </is>
      </c>
      <c r="O340" t="inlineStr">
        <is>
          <t>NASLI</t>
        </is>
      </c>
      <c r="Q340" t="inlineStr">
        <is>
          <t>2. Baru</t>
        </is>
      </c>
      <c r="R340" t="n">
        <v>2</v>
      </c>
      <c r="S340" t="inlineStr">
        <is>
          <t>2. Ya, bukan oleh BPOM</t>
        </is>
      </c>
      <c r="U340" t="n">
        <v>2</v>
      </c>
      <c r="W340" t="n">
        <v>1</v>
      </c>
      <c r="AB340" t="inlineStr">
        <is>
          <t>7271031006004402</t>
        </is>
      </c>
      <c r="AC340" t="inlineStr">
        <is>
          <t>APPROVED BY Pengawas</t>
        </is>
      </c>
    </row>
    <row r="341">
      <c r="A341" t="inlineStr">
        <is>
          <t>4eb0f4a2-a191-4d2e-953b-1c3e3a37ca69</t>
        </is>
      </c>
      <c r="B341" t="n">
        <v>72</v>
      </c>
      <c r="C341" t="n">
        <v>71</v>
      </c>
      <c r="D341" t="n">
        <v>31</v>
      </c>
      <c r="E341" t="n">
        <v>6</v>
      </c>
      <c r="F341" t="n">
        <v>49</v>
      </c>
      <c r="G341" t="n">
        <v>1</v>
      </c>
      <c r="H341" t="n">
        <v>30367645</v>
      </c>
      <c r="M341" t="inlineStr">
        <is>
          <t>HASNA DJUMRI</t>
        </is>
      </c>
      <c r="N341" t="inlineStr">
        <is>
          <t>JL. SIMPOTOVE TIMUR IX BLOK Y37</t>
        </is>
      </c>
      <c r="Q341" t="inlineStr">
        <is>
          <t>0. Tidak Ditemukan</t>
        </is>
      </c>
      <c r="R341" t="n">
        <v>0</v>
      </c>
      <c r="V341" t="inlineStr">
        <is>
          <t>Pastikan sesuai kondisi lapangan</t>
        </is>
      </c>
      <c r="W341" t="n">
        <v>0</v>
      </c>
      <c r="AB341" t="inlineStr">
        <is>
          <t>7271031006004901</t>
        </is>
      </c>
      <c r="AC341" t="inlineStr">
        <is>
          <t>SUBMITTED BY Pencacah</t>
        </is>
      </c>
    </row>
    <row r="342">
      <c r="A342" t="inlineStr">
        <is>
          <t>c3420cfa-92ad-4a91-b417-89a43713f896</t>
        </is>
      </c>
      <c r="B342" t="n">
        <v>72</v>
      </c>
      <c r="C342" t="n">
        <v>71</v>
      </c>
      <c r="D342" t="n">
        <v>31</v>
      </c>
      <c r="E342" t="n">
        <v>6</v>
      </c>
      <c r="F342" t="n">
        <v>49</v>
      </c>
      <c r="G342" t="n">
        <v>1</v>
      </c>
      <c r="H342" t="n">
        <v>27956692</v>
      </c>
      <c r="I342" t="n">
        <v>10710</v>
      </c>
      <c r="J342" t="inlineStr">
        <is>
          <t>Industri Produk Bakeri</t>
        </is>
      </c>
      <c r="M342" t="inlineStr">
        <is>
          <t>MAHMUD AHMAD</t>
        </is>
      </c>
      <c r="N342" t="inlineStr">
        <is>
          <t>JL. SIMPOTOVE TIMUR IX BLOK Y NO.77</t>
        </is>
      </c>
      <c r="Q342" t="inlineStr">
        <is>
          <t>0. Tidak Ditemukan</t>
        </is>
      </c>
      <c r="R342" t="n">
        <v>0</v>
      </c>
      <c r="V342" t="inlineStr">
        <is>
          <t>Pastikan sesuai kondisi lapangan</t>
        </is>
      </c>
      <c r="W342" t="n">
        <v>0</v>
      </c>
      <c r="AB342" t="inlineStr">
        <is>
          <t>7271031006004901</t>
        </is>
      </c>
      <c r="AC342" t="inlineStr">
        <is>
          <t>SUBMITTED BY Pencacah</t>
        </is>
      </c>
    </row>
    <row r="343">
      <c r="A343" t="inlineStr">
        <is>
          <t>477ddfb6-3589-4ea1-bc01-41e38ae4f702</t>
        </is>
      </c>
      <c r="B343" t="n">
        <v>72</v>
      </c>
      <c r="C343" t="n">
        <v>71</v>
      </c>
      <c r="D343" t="n">
        <v>31</v>
      </c>
      <c r="E343" t="n">
        <v>7</v>
      </c>
      <c r="F343" t="n">
        <v>10</v>
      </c>
      <c r="G343" t="n">
        <v>0</v>
      </c>
      <c r="H343" t="n">
        <v>57604131</v>
      </c>
      <c r="M343" t="inlineStr">
        <is>
          <t>PT RESKI LAIFASTO CABANG RESKI LAIFASTO</t>
        </is>
      </c>
      <c r="N343" t="inlineStr">
        <is>
          <t>Jalan Dupa Indah RT 01/ RW 01</t>
        </is>
      </c>
      <c r="Q343" t="inlineStr">
        <is>
          <t>0. Tidak Ditemukan</t>
        </is>
      </c>
      <c r="R343" t="n">
        <v>0</v>
      </c>
      <c r="V343" t="inlineStr">
        <is>
          <t>Pastikan sesuai kondisi lapangan</t>
        </is>
      </c>
      <c r="W343" t="n">
        <v>0</v>
      </c>
      <c r="AB343" t="inlineStr">
        <is>
          <t>7271031007001000</t>
        </is>
      </c>
      <c r="AC343" t="inlineStr">
        <is>
          <t>APPROVED BY Pengawas</t>
        </is>
      </c>
    </row>
    <row r="344">
      <c r="A344" t="inlineStr">
        <is>
          <t>2cd439ee-49ec-480f-a0ac-3580ecb98d8b</t>
        </is>
      </c>
      <c r="B344" t="n">
        <v>72</v>
      </c>
      <c r="C344" t="n">
        <v>71</v>
      </c>
      <c r="D344" t="n">
        <v>31</v>
      </c>
      <c r="E344" t="n">
        <v>8</v>
      </c>
      <c r="F344" t="n">
        <v>5</v>
      </c>
      <c r="G344" t="n">
        <v>1</v>
      </c>
      <c r="H344" t="n">
        <v>26045996</v>
      </c>
      <c r="I344" t="n">
        <v>10794</v>
      </c>
      <c r="J344" t="inlineStr">
        <is>
          <t>Industri Kerupuk, Keripik, Peyek, dan Sejenisnya</t>
        </is>
      </c>
      <c r="M344" t="inlineStr">
        <is>
          <t>INTAN ALIF FIANTI</t>
        </is>
      </c>
      <c r="N344" t="inlineStr">
        <is>
          <t xml:space="preserve">JL. BUKIT MARWAH </t>
        </is>
      </c>
      <c r="Q344" t="inlineStr">
        <is>
          <t>0. Tidak Ditemukan</t>
        </is>
      </c>
      <c r="R344" t="n">
        <v>0</v>
      </c>
      <c r="V344" t="inlineStr">
        <is>
          <t>Pastikan sesuai kondisi lapangan</t>
        </is>
      </c>
      <c r="W344" t="n">
        <v>0</v>
      </c>
      <c r="AB344" t="inlineStr">
        <is>
          <t>7271031008000501</t>
        </is>
      </c>
      <c r="AC344" t="inlineStr">
        <is>
          <t>APPROVED BY Pengawas</t>
        </is>
      </c>
    </row>
    <row r="345">
      <c r="A345" t="inlineStr">
        <is>
          <t>13e1c0c9-fe5d-4d31-a0dd-53f2fb484f58</t>
        </is>
      </c>
      <c r="B345" t="n">
        <v>72</v>
      </c>
      <c r="C345" t="n">
        <v>71</v>
      </c>
      <c r="D345" t="n">
        <v>31</v>
      </c>
      <c r="E345" t="n">
        <v>8</v>
      </c>
      <c r="F345" t="n">
        <v>22</v>
      </c>
      <c r="G345" t="n">
        <v>0</v>
      </c>
      <c r="H345" t="n">
        <v>30558779</v>
      </c>
      <c r="I345" t="n">
        <v>10710</v>
      </c>
      <c r="J345" t="inlineStr">
        <is>
          <t>Industri Produk Bakeri</t>
        </is>
      </c>
      <c r="M345" t="inlineStr">
        <is>
          <t>MARIA WIRA NATHANIA WOLOR</t>
        </is>
      </c>
      <c r="N345" t="inlineStr">
        <is>
          <t>PERUM PESONA INDAH 1 BLOK A NO.13</t>
        </is>
      </c>
      <c r="Q345" t="inlineStr">
        <is>
          <t>0. Tidak Ditemukan</t>
        </is>
      </c>
      <c r="R345" t="n">
        <v>0</v>
      </c>
      <c r="V345" t="inlineStr">
        <is>
          <t>Pastikan sesuai kondisi lapangan</t>
        </is>
      </c>
      <c r="W345" t="n">
        <v>0</v>
      </c>
      <c r="AB345" t="inlineStr">
        <is>
          <t>7271031008002200</t>
        </is>
      </c>
      <c r="AC345" t="inlineStr">
        <is>
          <t>SUBMITTED BY Pencacah</t>
        </is>
      </c>
    </row>
    <row r="346">
      <c r="A346" t="inlineStr">
        <is>
          <t>b0ec5031-b860-4d33-a296-88d2a8c02caf</t>
        </is>
      </c>
      <c r="B346" t="n">
        <v>72</v>
      </c>
      <c r="C346" t="n">
        <v>71</v>
      </c>
      <c r="D346" t="n">
        <v>31</v>
      </c>
      <c r="E346" t="n">
        <v>8</v>
      </c>
      <c r="F346" t="n">
        <v>25</v>
      </c>
      <c r="G346" t="n">
        <v>0</v>
      </c>
      <c r="H346" t="n">
        <v>30011907</v>
      </c>
      <c r="I346" t="n">
        <v>10750</v>
      </c>
      <c r="J346" t="inlineStr">
        <is>
          <t>Industri Makanan dan Masakan Olahan</t>
        </is>
      </c>
      <c r="M346" t="inlineStr">
        <is>
          <t>SRIMAHAYANI</t>
        </is>
      </c>
      <c r="N346" t="inlineStr">
        <is>
          <t>JALAN DAYODARA BTN VALANGGUNI PERMAI BLOK G NO 1B</t>
        </is>
      </c>
      <c r="Q346" t="inlineStr">
        <is>
          <t>0. Tidak Ditemukan</t>
        </is>
      </c>
      <c r="R346" t="n">
        <v>0</v>
      </c>
      <c r="V346" t="inlineStr">
        <is>
          <t>Pastikan sesuai kondisi lapangan</t>
        </is>
      </c>
      <c r="W346" t="n">
        <v>0</v>
      </c>
      <c r="AB346" t="inlineStr">
        <is>
          <t>7271031008002500</t>
        </is>
      </c>
      <c r="AC346" t="inlineStr">
        <is>
          <t>SUBMITTED BY Pencacah</t>
        </is>
      </c>
    </row>
    <row r="347">
      <c r="A347" t="inlineStr">
        <is>
          <t>84bc4f6d-385f-4b1d-aa9d-224d4addf5ea</t>
        </is>
      </c>
      <c r="B347" t="n">
        <v>72</v>
      </c>
      <c r="C347" t="n">
        <v>71</v>
      </c>
      <c r="D347" t="n">
        <v>40</v>
      </c>
      <c r="E347" t="n">
        <v>1</v>
      </c>
      <c r="F347" t="n">
        <v>10</v>
      </c>
      <c r="G347" t="n">
        <v>0</v>
      </c>
      <c r="H347" t="n">
        <v>27230526</v>
      </c>
      <c r="I347" t="n">
        <v>10710</v>
      </c>
      <c r="J347" t="inlineStr">
        <is>
          <t>Industri Produk Bakeri</t>
        </is>
      </c>
      <c r="M347" t="inlineStr">
        <is>
          <t>NURLIA INDASARI</t>
        </is>
      </c>
      <c r="N347" t="inlineStr">
        <is>
          <t>JL. TANDAME NO. 68</t>
        </is>
      </c>
      <c r="Q347" t="inlineStr">
        <is>
          <t>0. Tidak Ditemukan</t>
        </is>
      </c>
      <c r="R347" t="n">
        <v>0</v>
      </c>
      <c r="V347" t="inlineStr">
        <is>
          <t>Pastikan sesuai kondisi lapangan</t>
        </is>
      </c>
      <c r="W347" t="n">
        <v>0</v>
      </c>
      <c r="AB347" t="inlineStr">
        <is>
          <t>7271040001001000</t>
        </is>
      </c>
      <c r="AC347" t="inlineStr">
        <is>
          <t>APPROVED BY Pengawas</t>
        </is>
      </c>
    </row>
    <row r="348">
      <c r="A348" t="inlineStr">
        <is>
          <t>c00e5e25-b8b7-4c0d-8154-e4c8c5290f59</t>
        </is>
      </c>
      <c r="B348" t="n">
        <v>72</v>
      </c>
      <c r="C348" t="n">
        <v>71</v>
      </c>
      <c r="D348" t="n">
        <v>41</v>
      </c>
      <c r="E348" t="n">
        <v>1</v>
      </c>
      <c r="F348" t="n">
        <v>12</v>
      </c>
      <c r="G348" t="n">
        <v>0</v>
      </c>
      <c r="H348" t="n">
        <v>28934246</v>
      </c>
      <c r="I348" t="n">
        <v>10793</v>
      </c>
      <c r="J348" t="inlineStr">
        <is>
          <t>Industri Produk Makanan dari Kelapa</t>
        </is>
      </c>
      <c r="M348" t="inlineStr">
        <is>
          <t>GITA LESMAYA</t>
        </is>
      </c>
      <c r="N348" t="inlineStr">
        <is>
          <t>JL.PUE GARUDA</t>
        </is>
      </c>
      <c r="Q348" t="inlineStr">
        <is>
          <t>0. Tidak Ditemukan</t>
        </is>
      </c>
      <c r="R348" t="n">
        <v>0</v>
      </c>
      <c r="V348" t="inlineStr">
        <is>
          <t>Pastikan sesuai kondisi lapangan</t>
        </is>
      </c>
      <c r="W348" t="n">
        <v>0</v>
      </c>
      <c r="AB348" t="inlineStr">
        <is>
          <t>7271041001001200</t>
        </is>
      </c>
      <c r="AC348" t="inlineStr">
        <is>
          <t>SUBMITTED BY Pencacah</t>
        </is>
      </c>
    </row>
    <row r="349">
      <c r="A349" t="inlineStr">
        <is>
          <t>c1c4ed28-0305-4477-b0d3-0842dfeada8d</t>
        </is>
      </c>
      <c r="B349" t="n">
        <v>72</v>
      </c>
      <c r="C349" t="n">
        <v>71</v>
      </c>
      <c r="D349" t="n">
        <v>41</v>
      </c>
      <c r="E349" t="n">
        <v>4</v>
      </c>
      <c r="F349" t="n">
        <v>5</v>
      </c>
      <c r="G349" t="n">
        <v>0</v>
      </c>
      <c r="H349" t="n">
        <v>26317507</v>
      </c>
      <c r="I349" t="n">
        <v>10303</v>
      </c>
      <c r="J349" t="inlineStr">
        <is>
          <t>Pengeringan Buah-buahan dan Sayuran</t>
        </is>
      </c>
      <c r="M349" t="inlineStr">
        <is>
          <t>JECLINE KAINAGE</t>
        </is>
      </c>
      <c r="N349" t="inlineStr">
        <is>
          <t>JL. BAHARI</t>
        </is>
      </c>
      <c r="Q349" t="inlineStr">
        <is>
          <t>0. Tidak Ditemukan</t>
        </is>
      </c>
      <c r="R349" t="n">
        <v>0</v>
      </c>
      <c r="V349" t="inlineStr">
        <is>
          <t>Pastikan sesuai kondisi lapangan</t>
        </is>
      </c>
      <c r="W349" t="n">
        <v>0</v>
      </c>
      <c r="AB349" t="inlineStr">
        <is>
          <t>7271041004000500</t>
        </is>
      </c>
      <c r="AC349" t="inlineStr">
        <is>
          <t>APPROVED BY Pengawas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2026-07-22T03:53:33Z</dcterms:created>
  <dcterms:modified xmlns:dcterms="http://purl.org/dc/terms/" xmlns:xsi="http://www.w3.org/2001/XMLSchema-instance" xsi:type="dcterms:W3CDTF">2026-07-22T04:12:58Z</dcterms:modified>
</cp:coreProperties>
</file>