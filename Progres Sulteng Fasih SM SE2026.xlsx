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Data\2026\SE2026\Progres\"/>
    </mc:Choice>
  </mc:AlternateContent>
  <xr:revisionPtr revIDLastSave="0" documentId="13_ncr:1_{6DEC00DD-AFAA-4413-B379-E33EC79C260D}" xr6:coauthVersionLast="45" xr6:coauthVersionMax="45" xr10:uidLastSave="{00000000-0000-0000-0000-000000000000}"/>
  <bookViews>
    <workbookView xWindow="-108" yWindow="-108" windowWidth="23256" windowHeight="12456" firstSheet="15" activeTab="20" xr2:uid="{CA250867-9145-40E7-B96C-5840EB896F4B}"/>
  </bookViews>
  <sheets>
    <sheet name="6 Juli" sheetId="2" r:id="rId1"/>
    <sheet name="7 Juli" sheetId="3" r:id="rId2"/>
    <sheet name="8 Juli" sheetId="4" r:id="rId3"/>
    <sheet name="9 Juli" sheetId="5" r:id="rId4"/>
    <sheet name="10 Juli" sheetId="6" r:id="rId5"/>
    <sheet name="11 Juli" sheetId="7" r:id="rId6"/>
    <sheet name="12 Juli" sheetId="8" r:id="rId7"/>
    <sheet name="13 juli" sheetId="9" r:id="rId8"/>
    <sheet name="14 Juli" sheetId="10" r:id="rId9"/>
    <sheet name="15 Juli" sheetId="11" r:id="rId10"/>
    <sheet name="16 Juli" sheetId="12" r:id="rId11"/>
    <sheet name="17 Juli" sheetId="13" r:id="rId12"/>
    <sheet name="18 Juli" sheetId="14" r:id="rId13"/>
    <sheet name="19 Juli" sheetId="17" r:id="rId14"/>
    <sheet name="20 Juli" sheetId="16" r:id="rId15"/>
    <sheet name="21 Juli" sheetId="18" r:id="rId16"/>
    <sheet name="22 Juli" sheetId="19" r:id="rId17"/>
    <sheet name="23 Juli" sheetId="20" r:id="rId18"/>
    <sheet name="24 Juli" sheetId="23" r:id="rId19"/>
    <sheet name="25 Juli" sheetId="22" r:id="rId20"/>
    <sheet name="26 Juli" sheetId="24" r:id="rId21"/>
    <sheet name="Sheet4" sheetId="27" state="hidden" r:id="rId22"/>
    <sheet name="Sheet3" sheetId="26" state="hidden" r:id="rId23"/>
    <sheet name="27 Juli" sheetId="25" r:id="rId24"/>
  </sheets>
  <definedNames>
    <definedName name="ExternalData_1" localSheetId="14" hidden="1">'20 Juli'!$A$1:$M$14</definedName>
    <definedName name="ExternalData_1" localSheetId="19" hidden="1">'25 Juli'!$A$1:$M$14</definedName>
    <definedName name="ExternalData_1" localSheetId="0" hidden="1">'6 Juli'!$A$1:$L$14</definedName>
    <definedName name="ExternalData_1" localSheetId="1" hidden="1">'7 Juli'!$A$1:$L$15</definedName>
    <definedName name="ExternalData_10" localSheetId="10" hidden="1">'16 Juli'!$A$1:$M$14</definedName>
    <definedName name="ExternalData_11" localSheetId="11" hidden="1">'17 Juli'!$A$1:$M$14</definedName>
    <definedName name="ExternalData_12" localSheetId="12" hidden="1">'18 Juli'!$A$1:$M$14</definedName>
    <definedName name="ExternalData_2" localSheetId="13" hidden="1">'19 Juli'!$A$1:$M$14</definedName>
    <definedName name="ExternalData_2" localSheetId="15" hidden="1">'21 Juli'!$A$1:$M$14</definedName>
    <definedName name="ExternalData_2" localSheetId="18" hidden="1">'24 Juli'!$A$1:$M$14</definedName>
    <definedName name="ExternalData_2" localSheetId="20" hidden="1">'26 Juli'!$A$16:$K$17</definedName>
    <definedName name="ExternalData_2" localSheetId="2" hidden="1">'8 Juli'!$A$1:$L$14</definedName>
    <definedName name="ExternalData_3" localSheetId="16" hidden="1">'22 Juli'!$A$1:$M$14</definedName>
    <definedName name="ExternalData_3" localSheetId="23" hidden="1">'27 Juli'!$A$1:$M$14</definedName>
    <definedName name="ExternalData_3" localSheetId="3" hidden="1">'9 Juli'!$A$1:$L$14</definedName>
    <definedName name="ExternalData_4" localSheetId="4" hidden="1">'10 Juli'!$A$1:$L$14</definedName>
    <definedName name="ExternalData_4" localSheetId="17" hidden="1">'23 Juli'!$A$1:$M$14</definedName>
    <definedName name="ExternalData_4" localSheetId="22" hidden="1">Sheet3!$A$1:$O$188</definedName>
    <definedName name="ExternalData_5" localSheetId="5" hidden="1">'11 Juli'!$A$1:$L$14</definedName>
    <definedName name="ExternalData_6" localSheetId="6" hidden="1">'12 Juli'!$A$1:$L$14</definedName>
    <definedName name="ExternalData_7" localSheetId="7" hidden="1">'13 juli'!$A$1:$M$14</definedName>
    <definedName name="ExternalData_8" localSheetId="8" hidden="1">'14 Juli'!$A$1:$M$14</definedName>
    <definedName name="ExternalData_9" localSheetId="9" hidden="1">'15 Juli'!$A$1:$M$14</definedName>
  </definedNames>
  <calcPr calcId="191029"/>
  <pivotCaches>
    <pivotCache cacheId="40" r:id="rId2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0" i="24" l="1"/>
  <c r="Q17" i="25"/>
  <c r="O15" i="24"/>
  <c r="O3" i="24"/>
  <c r="O4" i="24"/>
  <c r="O5" i="24"/>
  <c r="O6" i="24"/>
  <c r="O7" i="24"/>
  <c r="O8" i="24"/>
  <c r="O9" i="24"/>
  <c r="O10" i="24"/>
  <c r="O11" i="24"/>
  <c r="O12" i="24"/>
  <c r="O13" i="24"/>
  <c r="O14" i="24"/>
  <c r="O2" i="24"/>
  <c r="N15" i="24"/>
  <c r="N3" i="24"/>
  <c r="N4" i="24"/>
  <c r="N5" i="24"/>
  <c r="N6" i="24"/>
  <c r="N7" i="24"/>
  <c r="N8" i="24"/>
  <c r="N9" i="24"/>
  <c r="N10" i="24"/>
  <c r="N11" i="24"/>
  <c r="N12" i="24"/>
  <c r="N13" i="24"/>
  <c r="N14" i="24"/>
  <c r="N2" i="24"/>
  <c r="E35" i="27"/>
  <c r="D35" i="27"/>
  <c r="C35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22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4" i="27"/>
  <c r="L5" i="27"/>
  <c r="L6" i="27"/>
  <c r="L7" i="27"/>
  <c r="L8" i="27"/>
  <c r="L9" i="27"/>
  <c r="L10" i="27"/>
  <c r="L11" i="27"/>
  <c r="L12" i="27"/>
  <c r="L13" i="27"/>
  <c r="L14" i="27"/>
  <c r="L15" i="27"/>
  <c r="L16" i="27"/>
  <c r="L17" i="27"/>
  <c r="L4" i="27"/>
  <c r="M17" i="24" l="1"/>
  <c r="L17" i="24"/>
  <c r="N17" i="24" s="1"/>
  <c r="O17" i="24" s="1"/>
  <c r="C16" i="25"/>
  <c r="D16" i="25"/>
  <c r="E16" i="25"/>
  <c r="F16" i="25"/>
  <c r="G16" i="25"/>
  <c r="H16" i="25"/>
  <c r="I16" i="25"/>
  <c r="J16" i="25"/>
  <c r="K16" i="25"/>
  <c r="L16" i="25"/>
  <c r="M16" i="25"/>
  <c r="B16" i="25"/>
  <c r="O14" i="25"/>
  <c r="O9" i="25"/>
  <c r="O3" i="25"/>
  <c r="O6" i="25"/>
  <c r="O11" i="25"/>
  <c r="O5" i="25"/>
  <c r="O7" i="25"/>
  <c r="O16" i="25" s="1"/>
  <c r="O10" i="25"/>
  <c r="O8" i="25"/>
  <c r="O4" i="25"/>
  <c r="O2" i="25"/>
  <c r="O13" i="25"/>
  <c r="O12" i="25"/>
  <c r="N14" i="25"/>
  <c r="P14" i="25" s="1"/>
  <c r="Q14" i="25" s="1"/>
  <c r="N9" i="25"/>
  <c r="P9" i="25" s="1"/>
  <c r="Q9" i="25" s="1"/>
  <c r="N3" i="25"/>
  <c r="P3" i="25" s="1"/>
  <c r="Q3" i="25" s="1"/>
  <c r="N6" i="25"/>
  <c r="N11" i="25"/>
  <c r="P11" i="25" s="1"/>
  <c r="Q11" i="25" s="1"/>
  <c r="N5" i="25"/>
  <c r="N7" i="25"/>
  <c r="N10" i="25"/>
  <c r="P10" i="25" s="1"/>
  <c r="Q10" i="25" s="1"/>
  <c r="N8" i="25"/>
  <c r="P8" i="25" s="1"/>
  <c r="Q8" i="25" s="1"/>
  <c r="N4" i="25"/>
  <c r="P4" i="25" s="1"/>
  <c r="Q4" i="25" s="1"/>
  <c r="N2" i="25"/>
  <c r="P2" i="25" s="1"/>
  <c r="Q2" i="25" s="1"/>
  <c r="N13" i="25"/>
  <c r="P13" i="25" s="1"/>
  <c r="Q13" i="25" s="1"/>
  <c r="N12" i="25"/>
  <c r="P12" i="25" s="1"/>
  <c r="Q12" i="25" s="1"/>
  <c r="P7" i="25" l="1"/>
  <c r="Q7" i="25" s="1"/>
  <c r="P5" i="25"/>
  <c r="R13" i="25"/>
  <c r="P6" i="25"/>
  <c r="N16" i="25"/>
  <c r="P16" i="25" s="1"/>
  <c r="Q16" i="25" s="1"/>
  <c r="Q16" i="22"/>
  <c r="Q4" i="22"/>
  <c r="Q8" i="22"/>
  <c r="Q9" i="22"/>
  <c r="Q16" i="23"/>
  <c r="Q6" i="23"/>
  <c r="Q13" i="23"/>
  <c r="Q14" i="23"/>
  <c r="B16" i="23"/>
  <c r="C16" i="23"/>
  <c r="D16" i="23"/>
  <c r="E16" i="23"/>
  <c r="F16" i="23"/>
  <c r="G16" i="23"/>
  <c r="H16" i="23"/>
  <c r="I16" i="23"/>
  <c r="J16" i="23"/>
  <c r="K16" i="23"/>
  <c r="L16" i="23"/>
  <c r="M16" i="23"/>
  <c r="O14" i="23"/>
  <c r="O9" i="23"/>
  <c r="O3" i="23"/>
  <c r="O6" i="23"/>
  <c r="O11" i="23"/>
  <c r="O5" i="23"/>
  <c r="O16" i="23" s="1"/>
  <c r="O7" i="23"/>
  <c r="O10" i="23"/>
  <c r="O8" i="23"/>
  <c r="O4" i="23"/>
  <c r="O2" i="23"/>
  <c r="O13" i="23"/>
  <c r="O12" i="23"/>
  <c r="N14" i="23"/>
  <c r="P14" i="23" s="1"/>
  <c r="N9" i="23"/>
  <c r="P9" i="23" s="1"/>
  <c r="Q9" i="23" s="1"/>
  <c r="N3" i="23"/>
  <c r="P3" i="23" s="1"/>
  <c r="Q3" i="23" s="1"/>
  <c r="N6" i="23"/>
  <c r="P6" i="23" s="1"/>
  <c r="N11" i="23"/>
  <c r="N5" i="23"/>
  <c r="N7" i="23"/>
  <c r="N10" i="23"/>
  <c r="N8" i="23"/>
  <c r="P8" i="23" s="1"/>
  <c r="Q8" i="23" s="1"/>
  <c r="N4" i="23"/>
  <c r="P4" i="23" s="1"/>
  <c r="Q4" i="23" s="1"/>
  <c r="N2" i="23"/>
  <c r="P2" i="23" s="1"/>
  <c r="Q2" i="23" s="1"/>
  <c r="N13" i="23"/>
  <c r="P13" i="23" s="1"/>
  <c r="N12" i="23"/>
  <c r="O14" i="22"/>
  <c r="O9" i="22"/>
  <c r="O3" i="22"/>
  <c r="O6" i="22"/>
  <c r="O11" i="22"/>
  <c r="O5" i="22"/>
  <c r="O7" i="22"/>
  <c r="O10" i="22"/>
  <c r="O8" i="22"/>
  <c r="O4" i="22"/>
  <c r="O2" i="22"/>
  <c r="O13" i="22"/>
  <c r="O12" i="22"/>
  <c r="C16" i="22"/>
  <c r="D16" i="22"/>
  <c r="E16" i="22"/>
  <c r="F16" i="22"/>
  <c r="G16" i="22"/>
  <c r="H16" i="22"/>
  <c r="I16" i="22"/>
  <c r="J16" i="22"/>
  <c r="K16" i="22"/>
  <c r="L16" i="22"/>
  <c r="M16" i="22"/>
  <c r="B16" i="22"/>
  <c r="N14" i="22"/>
  <c r="P14" i="22" s="1"/>
  <c r="Q14" i="22" s="1"/>
  <c r="N9" i="22"/>
  <c r="P9" i="22" s="1"/>
  <c r="N3" i="22"/>
  <c r="P3" i="22" s="1"/>
  <c r="Q3" i="22" s="1"/>
  <c r="N6" i="22"/>
  <c r="P6" i="22" s="1"/>
  <c r="Q6" i="22" s="1"/>
  <c r="N11" i="22"/>
  <c r="N5" i="22"/>
  <c r="N7" i="22"/>
  <c r="N10" i="22"/>
  <c r="N8" i="22"/>
  <c r="P8" i="22" s="1"/>
  <c r="N4" i="22"/>
  <c r="P4" i="22" s="1"/>
  <c r="N2" i="22"/>
  <c r="P2" i="22" s="1"/>
  <c r="Q2" i="22" s="1"/>
  <c r="N13" i="22"/>
  <c r="P13" i="22" s="1"/>
  <c r="Q13" i="22" s="1"/>
  <c r="N12" i="22"/>
  <c r="R5" i="25" l="1"/>
  <c r="Q5" i="25"/>
  <c r="R6" i="25"/>
  <c r="Q6" i="25"/>
  <c r="R2" i="25"/>
  <c r="R12" i="25"/>
  <c r="R14" i="25"/>
  <c r="R3" i="25"/>
  <c r="R8" i="25"/>
  <c r="R9" i="25"/>
  <c r="R4" i="25"/>
  <c r="R10" i="25"/>
  <c r="R11" i="25"/>
  <c r="R7" i="25"/>
  <c r="O16" i="22"/>
  <c r="P5" i="22"/>
  <c r="P7" i="23"/>
  <c r="Q7" i="23" s="1"/>
  <c r="P10" i="23"/>
  <c r="Q10" i="23" s="1"/>
  <c r="P5" i="23"/>
  <c r="R2" i="23"/>
  <c r="P12" i="23"/>
  <c r="P11" i="23"/>
  <c r="Q11" i="23" s="1"/>
  <c r="N16" i="23"/>
  <c r="P16" i="23" s="1"/>
  <c r="P7" i="22"/>
  <c r="Q7" i="22" s="1"/>
  <c r="P10" i="22"/>
  <c r="Q10" i="22" s="1"/>
  <c r="P12" i="22"/>
  <c r="Q12" i="22" s="1"/>
  <c r="P11" i="22"/>
  <c r="Q11" i="22" s="1"/>
  <c r="N16" i="22"/>
  <c r="P16" i="22" s="1"/>
  <c r="Q16" i="20"/>
  <c r="Q2" i="20"/>
  <c r="Q3" i="20"/>
  <c r="Q4" i="20"/>
  <c r="C16" i="20"/>
  <c r="D16" i="20"/>
  <c r="E16" i="20"/>
  <c r="F16" i="20"/>
  <c r="G16" i="20"/>
  <c r="H16" i="20"/>
  <c r="I16" i="20"/>
  <c r="J16" i="20"/>
  <c r="K16" i="20"/>
  <c r="L16" i="20"/>
  <c r="M16" i="20"/>
  <c r="B16" i="20"/>
  <c r="O14" i="20"/>
  <c r="O9" i="20"/>
  <c r="O3" i="20"/>
  <c r="O6" i="20"/>
  <c r="O11" i="20"/>
  <c r="O5" i="20"/>
  <c r="O7" i="20"/>
  <c r="O16" i="20" s="1"/>
  <c r="O10" i="20"/>
  <c r="O8" i="20"/>
  <c r="O4" i="20"/>
  <c r="O2" i="20"/>
  <c r="O13" i="20"/>
  <c r="O12" i="20"/>
  <c r="N14" i="20"/>
  <c r="N9" i="20"/>
  <c r="P9" i="20" s="1"/>
  <c r="Q9" i="20" s="1"/>
  <c r="N3" i="20"/>
  <c r="P3" i="20" s="1"/>
  <c r="N6" i="20"/>
  <c r="P6" i="20" s="1"/>
  <c r="Q6" i="20" s="1"/>
  <c r="N11" i="20"/>
  <c r="P11" i="20" s="1"/>
  <c r="Q11" i="20" s="1"/>
  <c r="N5" i="20"/>
  <c r="N7" i="20"/>
  <c r="N10" i="20"/>
  <c r="N8" i="20"/>
  <c r="N4" i="20"/>
  <c r="P4" i="20" s="1"/>
  <c r="N2" i="20"/>
  <c r="P2" i="20" s="1"/>
  <c r="N13" i="20"/>
  <c r="P13" i="20" s="1"/>
  <c r="Q13" i="20" s="1"/>
  <c r="N12" i="20"/>
  <c r="P12" i="20" s="1"/>
  <c r="Q12" i="20" s="1"/>
  <c r="R14" i="22" l="1"/>
  <c r="R4" i="22"/>
  <c r="R3" i="22"/>
  <c r="R5" i="22"/>
  <c r="Q5" i="22"/>
  <c r="R12" i="23"/>
  <c r="Q12" i="23"/>
  <c r="R10" i="23"/>
  <c r="Q5" i="23"/>
  <c r="R9" i="23"/>
  <c r="R14" i="23"/>
  <c r="R5" i="23"/>
  <c r="R4" i="23"/>
  <c r="R7" i="23"/>
  <c r="R8" i="23"/>
  <c r="R6" i="23"/>
  <c r="R13" i="23"/>
  <c r="R11" i="23"/>
  <c r="R3" i="23"/>
  <c r="R8" i="22"/>
  <c r="R11" i="22"/>
  <c r="R12" i="22"/>
  <c r="R6" i="22"/>
  <c r="R10" i="22"/>
  <c r="R9" i="22"/>
  <c r="R2" i="22"/>
  <c r="R7" i="22"/>
  <c r="R13" i="22"/>
  <c r="P8" i="20"/>
  <c r="Q8" i="20" s="1"/>
  <c r="P10" i="20"/>
  <c r="R8" i="20" s="1"/>
  <c r="P7" i="20"/>
  <c r="P14" i="20"/>
  <c r="Q14" i="20" s="1"/>
  <c r="N16" i="20"/>
  <c r="P16" i="20" s="1"/>
  <c r="P5" i="20"/>
  <c r="Q5" i="20" s="1"/>
  <c r="Q16" i="19"/>
  <c r="Q3" i="19"/>
  <c r="Q7" i="19"/>
  <c r="Q11" i="19"/>
  <c r="C16" i="19"/>
  <c r="D16" i="19"/>
  <c r="E16" i="19"/>
  <c r="F16" i="19"/>
  <c r="G16" i="19"/>
  <c r="H16" i="19"/>
  <c r="I16" i="19"/>
  <c r="J16" i="19"/>
  <c r="K16" i="19"/>
  <c r="L16" i="19"/>
  <c r="M16" i="19"/>
  <c r="B16" i="19"/>
  <c r="O14" i="19"/>
  <c r="O9" i="19"/>
  <c r="O3" i="19"/>
  <c r="O6" i="19"/>
  <c r="O11" i="19"/>
  <c r="O5" i="19"/>
  <c r="O7" i="19"/>
  <c r="O10" i="19"/>
  <c r="O8" i="19"/>
  <c r="O4" i="19"/>
  <c r="O2" i="19"/>
  <c r="O16" i="19" s="1"/>
  <c r="O13" i="19"/>
  <c r="O12" i="19"/>
  <c r="N14" i="19"/>
  <c r="N9" i="19"/>
  <c r="N3" i="19"/>
  <c r="P3" i="19" s="1"/>
  <c r="N6" i="19"/>
  <c r="P6" i="19" s="1"/>
  <c r="Q6" i="19" s="1"/>
  <c r="N11" i="19"/>
  <c r="P11" i="19" s="1"/>
  <c r="N5" i="19"/>
  <c r="P5" i="19" s="1"/>
  <c r="Q5" i="19" s="1"/>
  <c r="N7" i="19"/>
  <c r="P7" i="19" s="1"/>
  <c r="N10" i="19"/>
  <c r="N8" i="19"/>
  <c r="N4" i="19"/>
  <c r="N2" i="19"/>
  <c r="P2" i="19" s="1"/>
  <c r="Q2" i="19" s="1"/>
  <c r="N13" i="19"/>
  <c r="P13" i="19" s="1"/>
  <c r="Q13" i="19" s="1"/>
  <c r="N12" i="19"/>
  <c r="P12" i="19" s="1"/>
  <c r="Q12" i="19" s="1"/>
  <c r="R12" i="20" l="1"/>
  <c r="R4" i="20"/>
  <c r="R10" i="20"/>
  <c r="Q10" i="20"/>
  <c r="R6" i="20"/>
  <c r="Q7" i="20"/>
  <c r="R7" i="20"/>
  <c r="R9" i="20"/>
  <c r="R5" i="20"/>
  <c r="R3" i="20"/>
  <c r="R13" i="20"/>
  <c r="R2" i="20"/>
  <c r="R14" i="20"/>
  <c r="R11" i="20"/>
  <c r="P4" i="19"/>
  <c r="Q4" i="19" s="1"/>
  <c r="P9" i="19"/>
  <c r="Q9" i="19" s="1"/>
  <c r="P8" i="19"/>
  <c r="P14" i="19"/>
  <c r="Q14" i="19" s="1"/>
  <c r="R11" i="19"/>
  <c r="P10" i="19"/>
  <c r="R8" i="19"/>
  <c r="N16" i="19"/>
  <c r="P16" i="19" s="1"/>
  <c r="R10" i="19" l="1"/>
  <c r="Q10" i="19"/>
  <c r="R3" i="19"/>
  <c r="Q8" i="19"/>
  <c r="R9" i="19"/>
  <c r="R2" i="19"/>
  <c r="R12" i="19"/>
  <c r="R6" i="19"/>
  <c r="R13" i="19"/>
  <c r="R4" i="19"/>
  <c r="R14" i="19"/>
  <c r="R5" i="19"/>
  <c r="R7" i="19"/>
  <c r="Q16" i="18" l="1"/>
  <c r="Q7" i="18"/>
  <c r="C16" i="18"/>
  <c r="D16" i="18"/>
  <c r="E16" i="18"/>
  <c r="F16" i="18"/>
  <c r="G16" i="18"/>
  <c r="H16" i="18"/>
  <c r="I16" i="18"/>
  <c r="J16" i="18"/>
  <c r="K16" i="18"/>
  <c r="L16" i="18"/>
  <c r="M16" i="18"/>
  <c r="B16" i="18"/>
  <c r="O14" i="18"/>
  <c r="O9" i="18"/>
  <c r="O3" i="18"/>
  <c r="O6" i="18"/>
  <c r="O11" i="18"/>
  <c r="O5" i="18"/>
  <c r="O7" i="18"/>
  <c r="O10" i="18"/>
  <c r="O8" i="18"/>
  <c r="O4" i="18"/>
  <c r="O2" i="18"/>
  <c r="O16" i="18" s="1"/>
  <c r="O13" i="18"/>
  <c r="O12" i="18"/>
  <c r="N14" i="18"/>
  <c r="P14" i="18" s="1"/>
  <c r="Q14" i="18" s="1"/>
  <c r="N9" i="18"/>
  <c r="N3" i="18"/>
  <c r="N6" i="18"/>
  <c r="N11" i="18"/>
  <c r="N5" i="18"/>
  <c r="N7" i="18"/>
  <c r="P7" i="18" s="1"/>
  <c r="N10" i="18"/>
  <c r="P10" i="18" s="1"/>
  <c r="Q10" i="18" s="1"/>
  <c r="N8" i="18"/>
  <c r="N4" i="18"/>
  <c r="N2" i="18"/>
  <c r="N13" i="18"/>
  <c r="N12" i="18"/>
  <c r="P4" i="18" l="1"/>
  <c r="Q4" i="18" s="1"/>
  <c r="P8" i="18"/>
  <c r="Q8" i="18" s="1"/>
  <c r="N16" i="18"/>
  <c r="P16" i="18" s="1"/>
  <c r="P5" i="18"/>
  <c r="Q5" i="18" s="1"/>
  <c r="P11" i="18"/>
  <c r="Q11" i="18" s="1"/>
  <c r="P12" i="18"/>
  <c r="Q12" i="18" s="1"/>
  <c r="P6" i="18"/>
  <c r="P2" i="18"/>
  <c r="P3" i="18"/>
  <c r="P13" i="18"/>
  <c r="P9" i="18"/>
  <c r="R8" i="18"/>
  <c r="Q16" i="16"/>
  <c r="Q16" i="17"/>
  <c r="Q6" i="17"/>
  <c r="Q9" i="17"/>
  <c r="C16" i="17"/>
  <c r="D16" i="17"/>
  <c r="E16" i="17"/>
  <c r="F16" i="17"/>
  <c r="G16" i="17"/>
  <c r="H16" i="17"/>
  <c r="I16" i="17"/>
  <c r="J16" i="17"/>
  <c r="K16" i="17"/>
  <c r="L16" i="17"/>
  <c r="M16" i="17"/>
  <c r="B16" i="17"/>
  <c r="O14" i="17"/>
  <c r="O9" i="17"/>
  <c r="O3" i="17"/>
  <c r="O6" i="17"/>
  <c r="O11" i="17"/>
  <c r="O5" i="17"/>
  <c r="O16" i="17" s="1"/>
  <c r="O7" i="17"/>
  <c r="O10" i="17"/>
  <c r="O8" i="17"/>
  <c r="O4" i="17"/>
  <c r="O2" i="17"/>
  <c r="O13" i="17"/>
  <c r="O12" i="17"/>
  <c r="N14" i="17"/>
  <c r="N9" i="17"/>
  <c r="P9" i="17" s="1"/>
  <c r="N3" i="17"/>
  <c r="P3" i="17" s="1"/>
  <c r="Q3" i="17" s="1"/>
  <c r="N6" i="17"/>
  <c r="P6" i="17" s="1"/>
  <c r="N11" i="17"/>
  <c r="N5" i="17"/>
  <c r="N7" i="17"/>
  <c r="N10" i="17"/>
  <c r="N8" i="17"/>
  <c r="N4" i="17"/>
  <c r="P4" i="17" s="1"/>
  <c r="Q4" i="17" s="1"/>
  <c r="N2" i="17"/>
  <c r="P2" i="17" s="1"/>
  <c r="Q2" i="17" s="1"/>
  <c r="N13" i="17"/>
  <c r="P13" i="17" s="1"/>
  <c r="Q13" i="17" s="1"/>
  <c r="N12" i="17"/>
  <c r="C16" i="16"/>
  <c r="D16" i="16"/>
  <c r="E16" i="16"/>
  <c r="F16" i="16"/>
  <c r="G16" i="16"/>
  <c r="H16" i="16"/>
  <c r="I16" i="16"/>
  <c r="J16" i="16"/>
  <c r="K16" i="16"/>
  <c r="L16" i="16"/>
  <c r="M16" i="16"/>
  <c r="B16" i="16"/>
  <c r="O14" i="16"/>
  <c r="O9" i="16"/>
  <c r="O3" i="16"/>
  <c r="O6" i="16"/>
  <c r="O11" i="16"/>
  <c r="O5" i="16"/>
  <c r="O7" i="16"/>
  <c r="O10" i="16"/>
  <c r="O8" i="16"/>
  <c r="O4" i="16"/>
  <c r="O2" i="16"/>
  <c r="O16" i="16" s="1"/>
  <c r="O13" i="16"/>
  <c r="O12" i="16"/>
  <c r="N14" i="16"/>
  <c r="P14" i="16" s="1"/>
  <c r="Q14" i="16" s="1"/>
  <c r="N9" i="16"/>
  <c r="P9" i="16" s="1"/>
  <c r="Q9" i="16" s="1"/>
  <c r="N3" i="16"/>
  <c r="P3" i="16" s="1"/>
  <c r="Q3" i="16" s="1"/>
  <c r="N6" i="16"/>
  <c r="P6" i="16" s="1"/>
  <c r="Q6" i="16" s="1"/>
  <c r="N11" i="16"/>
  <c r="N5" i="16"/>
  <c r="N7" i="16"/>
  <c r="P7" i="16" s="1"/>
  <c r="Q7" i="16" s="1"/>
  <c r="N10" i="16"/>
  <c r="P10" i="16" s="1"/>
  <c r="Q10" i="16" s="1"/>
  <c r="N8" i="16"/>
  <c r="P8" i="16" s="1"/>
  <c r="Q8" i="16" s="1"/>
  <c r="N4" i="16"/>
  <c r="P4" i="16" s="1"/>
  <c r="Q4" i="16" s="1"/>
  <c r="N2" i="16"/>
  <c r="N13" i="16"/>
  <c r="P13" i="16" s="1"/>
  <c r="Q13" i="16" s="1"/>
  <c r="N12" i="16"/>
  <c r="R6" i="18" l="1"/>
  <c r="Q6" i="18"/>
  <c r="R9" i="18"/>
  <c r="Q9" i="18"/>
  <c r="R13" i="18"/>
  <c r="Q13" i="18"/>
  <c r="R4" i="18"/>
  <c r="Q3" i="18"/>
  <c r="R7" i="18"/>
  <c r="Q2" i="18"/>
  <c r="R12" i="18"/>
  <c r="R10" i="18"/>
  <c r="R3" i="18"/>
  <c r="R11" i="18"/>
  <c r="R2" i="18"/>
  <c r="R5" i="18"/>
  <c r="R14" i="18"/>
  <c r="N16" i="16"/>
  <c r="P16" i="16"/>
  <c r="P8" i="17"/>
  <c r="Q8" i="17" s="1"/>
  <c r="P14" i="17"/>
  <c r="N16" i="17"/>
  <c r="P16" i="17" s="1"/>
  <c r="P7" i="17"/>
  <c r="Q7" i="17" s="1"/>
  <c r="P5" i="17"/>
  <c r="P10" i="17"/>
  <c r="P12" i="17"/>
  <c r="Q12" i="17" s="1"/>
  <c r="P11" i="17"/>
  <c r="Q11" i="17" s="1"/>
  <c r="R10" i="16"/>
  <c r="P5" i="16"/>
  <c r="P12" i="16"/>
  <c r="P11" i="16"/>
  <c r="P2" i="16"/>
  <c r="Q2" i="16" s="1"/>
  <c r="R14" i="16" l="1"/>
  <c r="R11" i="16"/>
  <c r="Q11" i="16"/>
  <c r="R12" i="16"/>
  <c r="Q12" i="16"/>
  <c r="R5" i="16"/>
  <c r="Q5" i="16"/>
  <c r="R9" i="17"/>
  <c r="Q10" i="17"/>
  <c r="R6" i="17"/>
  <c r="Q5" i="17"/>
  <c r="R14" i="17"/>
  <c r="Q14" i="17"/>
  <c r="R12" i="17"/>
  <c r="R3" i="17"/>
  <c r="R13" i="17"/>
  <c r="R10" i="17"/>
  <c r="R4" i="17"/>
  <c r="R7" i="17"/>
  <c r="R5" i="17"/>
  <c r="R2" i="17"/>
  <c r="R8" i="17"/>
  <c r="R11" i="17"/>
  <c r="R8" i="16"/>
  <c r="R13" i="16"/>
  <c r="R2" i="16"/>
  <c r="R9" i="16"/>
  <c r="R3" i="16"/>
  <c r="R4" i="16"/>
  <c r="R6" i="16"/>
  <c r="R7" i="16"/>
  <c r="U2" i="14" l="1"/>
  <c r="U3" i="14"/>
  <c r="U4" i="14"/>
  <c r="U5" i="14"/>
  <c r="U6" i="14"/>
  <c r="U7" i="14"/>
  <c r="U8" i="14"/>
  <c r="U9" i="14"/>
  <c r="U10" i="14"/>
  <c r="U11" i="14"/>
  <c r="U12" i="14"/>
  <c r="U13" i="14"/>
  <c r="U14" i="14"/>
  <c r="T2" i="14"/>
  <c r="T3" i="14"/>
  <c r="T4" i="14"/>
  <c r="T5" i="14"/>
  <c r="T6" i="14"/>
  <c r="T7" i="14"/>
  <c r="T8" i="14"/>
  <c r="T9" i="14"/>
  <c r="T10" i="14"/>
  <c r="T11" i="14"/>
  <c r="T12" i="14"/>
  <c r="T13" i="14"/>
  <c r="T14" i="14"/>
  <c r="S2" i="14"/>
  <c r="S3" i="14"/>
  <c r="S4" i="14"/>
  <c r="S5" i="14"/>
  <c r="S6" i="14"/>
  <c r="S7" i="14"/>
  <c r="S8" i="14"/>
  <c r="S9" i="14"/>
  <c r="S10" i="14"/>
  <c r="S11" i="14"/>
  <c r="S12" i="14"/>
  <c r="S13" i="14"/>
  <c r="S14" i="14"/>
  <c r="C16" i="14"/>
  <c r="D16" i="14"/>
  <c r="E16" i="14"/>
  <c r="F16" i="14"/>
  <c r="G16" i="14"/>
  <c r="H16" i="14"/>
  <c r="I16" i="14"/>
  <c r="J16" i="14"/>
  <c r="K16" i="14"/>
  <c r="L16" i="14"/>
  <c r="M16" i="14"/>
  <c r="B16" i="14"/>
  <c r="O14" i="14"/>
  <c r="O9" i="14"/>
  <c r="O3" i="14"/>
  <c r="O6" i="14"/>
  <c r="O11" i="14"/>
  <c r="O5" i="14"/>
  <c r="O7" i="14"/>
  <c r="O10" i="14"/>
  <c r="O8" i="14"/>
  <c r="O4" i="14"/>
  <c r="O2" i="14"/>
  <c r="O13" i="14"/>
  <c r="O12" i="14"/>
  <c r="N14" i="14"/>
  <c r="N9" i="14"/>
  <c r="N3" i="14"/>
  <c r="N6" i="14"/>
  <c r="N11" i="14"/>
  <c r="N5" i="14"/>
  <c r="N7" i="14"/>
  <c r="N10" i="14"/>
  <c r="N8" i="14"/>
  <c r="N4" i="14"/>
  <c r="N2" i="14"/>
  <c r="N13" i="14"/>
  <c r="N12" i="14"/>
  <c r="P8" i="14" l="1"/>
  <c r="Q8" i="14" s="1"/>
  <c r="P4" i="14"/>
  <c r="Q4" i="14" s="1"/>
  <c r="P9" i="14"/>
  <c r="Q9" i="14" s="1"/>
  <c r="O16" i="14"/>
  <c r="N16" i="14"/>
  <c r="P16" i="14" s="1"/>
  <c r="Q16" i="14" s="1"/>
  <c r="P10" i="14"/>
  <c r="Q10" i="14" s="1"/>
  <c r="P7" i="14"/>
  <c r="Q7" i="14" s="1"/>
  <c r="P5" i="14"/>
  <c r="Q5" i="14" s="1"/>
  <c r="P12" i="14"/>
  <c r="P11" i="14"/>
  <c r="P13" i="14"/>
  <c r="Q13" i="14" s="1"/>
  <c r="P6" i="14"/>
  <c r="P2" i="14"/>
  <c r="P3" i="14"/>
  <c r="Q3" i="14" s="1"/>
  <c r="P14" i="14"/>
  <c r="Q14" i="14" s="1"/>
  <c r="Q16" i="13"/>
  <c r="C16" i="13"/>
  <c r="D16" i="13"/>
  <c r="E16" i="13"/>
  <c r="F16" i="13"/>
  <c r="G16" i="13"/>
  <c r="H16" i="13"/>
  <c r="I16" i="13"/>
  <c r="J16" i="13"/>
  <c r="K16" i="13"/>
  <c r="L16" i="13"/>
  <c r="M16" i="13"/>
  <c r="B16" i="13"/>
  <c r="O14" i="13"/>
  <c r="O9" i="13"/>
  <c r="O3" i="13"/>
  <c r="O6" i="13"/>
  <c r="O11" i="13"/>
  <c r="O5" i="13"/>
  <c r="O7" i="13"/>
  <c r="O10" i="13"/>
  <c r="O8" i="13"/>
  <c r="O4" i="13"/>
  <c r="O2" i="13"/>
  <c r="O13" i="13"/>
  <c r="O12" i="13"/>
  <c r="O16" i="13" s="1"/>
  <c r="N14" i="13"/>
  <c r="N9" i="13"/>
  <c r="N3" i="13"/>
  <c r="N6" i="13"/>
  <c r="N11" i="13"/>
  <c r="N5" i="13"/>
  <c r="N7" i="13"/>
  <c r="N10" i="13"/>
  <c r="P10" i="13" s="1"/>
  <c r="Q10" i="13" s="1"/>
  <c r="N8" i="13"/>
  <c r="N4" i="13"/>
  <c r="N2" i="13"/>
  <c r="N13" i="13"/>
  <c r="N12" i="13"/>
  <c r="R10" i="14" l="1"/>
  <c r="Q2" i="14"/>
  <c r="R11" i="14"/>
  <c r="Q11" i="14"/>
  <c r="R6" i="14"/>
  <c r="Q6" i="14"/>
  <c r="R12" i="14"/>
  <c r="Q12" i="14"/>
  <c r="R13" i="14"/>
  <c r="R5" i="14"/>
  <c r="R14" i="14"/>
  <c r="R4" i="14"/>
  <c r="R9" i="14"/>
  <c r="R2" i="14"/>
  <c r="R7" i="14"/>
  <c r="R3" i="14"/>
  <c r="R8" i="14"/>
  <c r="P4" i="13"/>
  <c r="Q4" i="13" s="1"/>
  <c r="P6" i="13"/>
  <c r="Q6" i="13" s="1"/>
  <c r="P13" i="13"/>
  <c r="Q13" i="13" s="1"/>
  <c r="P3" i="13"/>
  <c r="P9" i="13"/>
  <c r="P11" i="13"/>
  <c r="Q11" i="13" s="1"/>
  <c r="P2" i="13"/>
  <c r="P8" i="13"/>
  <c r="Q8" i="13" s="1"/>
  <c r="P14" i="13"/>
  <c r="N16" i="13"/>
  <c r="P16" i="13" s="1"/>
  <c r="P7" i="13"/>
  <c r="Q7" i="13" s="1"/>
  <c r="P5" i="13"/>
  <c r="P12" i="13"/>
  <c r="R6" i="13"/>
  <c r="Q16" i="12"/>
  <c r="Q6" i="12"/>
  <c r="Q13" i="12"/>
  <c r="Q14" i="12"/>
  <c r="C16" i="12"/>
  <c r="D16" i="12"/>
  <c r="E16" i="12"/>
  <c r="F16" i="12"/>
  <c r="G16" i="12"/>
  <c r="H16" i="12"/>
  <c r="I16" i="12"/>
  <c r="J16" i="12"/>
  <c r="K16" i="12"/>
  <c r="L16" i="12"/>
  <c r="M16" i="12"/>
  <c r="B16" i="12"/>
  <c r="O14" i="12"/>
  <c r="O9" i="12"/>
  <c r="O3" i="12"/>
  <c r="O16" i="12" s="1"/>
  <c r="O6" i="12"/>
  <c r="O11" i="12"/>
  <c r="O5" i="12"/>
  <c r="O7" i="12"/>
  <c r="O10" i="12"/>
  <c r="O8" i="12"/>
  <c r="O4" i="12"/>
  <c r="O2" i="12"/>
  <c r="O13" i="12"/>
  <c r="O12" i="12"/>
  <c r="N14" i="12"/>
  <c r="P14" i="12" s="1"/>
  <c r="N9" i="12"/>
  <c r="P9" i="12" s="1"/>
  <c r="Q9" i="12" s="1"/>
  <c r="N3" i="12"/>
  <c r="N6" i="12"/>
  <c r="P6" i="12" s="1"/>
  <c r="N11" i="12"/>
  <c r="N5" i="12"/>
  <c r="N7" i="12"/>
  <c r="N10" i="12"/>
  <c r="P10" i="12" s="1"/>
  <c r="Q10" i="12" s="1"/>
  <c r="N8" i="12"/>
  <c r="N4" i="12"/>
  <c r="P4" i="12" s="1"/>
  <c r="Q4" i="12" s="1"/>
  <c r="N2" i="12"/>
  <c r="N13" i="12"/>
  <c r="P13" i="12" s="1"/>
  <c r="N12" i="12"/>
  <c r="R2" i="13" l="1"/>
  <c r="Q2" i="13"/>
  <c r="R11" i="13"/>
  <c r="Q12" i="13"/>
  <c r="R9" i="13"/>
  <c r="Q9" i="13"/>
  <c r="R5" i="13"/>
  <c r="Q5" i="13"/>
  <c r="R10" i="13"/>
  <c r="R3" i="13"/>
  <c r="Q3" i="13"/>
  <c r="R14" i="13"/>
  <c r="Q14" i="13"/>
  <c r="R8" i="13"/>
  <c r="R7" i="13"/>
  <c r="R13" i="13"/>
  <c r="R12" i="13"/>
  <c r="R4" i="13"/>
  <c r="P8" i="12"/>
  <c r="Q8" i="12" s="1"/>
  <c r="P7" i="12"/>
  <c r="P5" i="12"/>
  <c r="Q5" i="12" s="1"/>
  <c r="P12" i="12"/>
  <c r="Q12" i="12" s="1"/>
  <c r="P11" i="12"/>
  <c r="P2" i="12"/>
  <c r="Q2" i="12" s="1"/>
  <c r="P3" i="12"/>
  <c r="Q3" i="12" s="1"/>
  <c r="N16" i="12"/>
  <c r="P16" i="12" s="1"/>
  <c r="Q16" i="11"/>
  <c r="P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B16" i="11"/>
  <c r="Q9" i="11"/>
  <c r="O14" i="11"/>
  <c r="O9" i="11"/>
  <c r="O3" i="11"/>
  <c r="O6" i="11"/>
  <c r="O11" i="11"/>
  <c r="O5" i="11"/>
  <c r="O7" i="11"/>
  <c r="O10" i="11"/>
  <c r="O8" i="11"/>
  <c r="O4" i="11"/>
  <c r="O2" i="11"/>
  <c r="O13" i="11"/>
  <c r="O12" i="11"/>
  <c r="N14" i="11"/>
  <c r="N9" i="11"/>
  <c r="P9" i="11" s="1"/>
  <c r="N3" i="11"/>
  <c r="P3" i="11" s="1"/>
  <c r="Q3" i="11" s="1"/>
  <c r="N6" i="11"/>
  <c r="P6" i="11" s="1"/>
  <c r="Q6" i="11" s="1"/>
  <c r="N11" i="11"/>
  <c r="N5" i="11"/>
  <c r="N7" i="11"/>
  <c r="N10" i="11"/>
  <c r="N8" i="11"/>
  <c r="N4" i="11"/>
  <c r="P4" i="11" s="1"/>
  <c r="Q4" i="11" s="1"/>
  <c r="N2" i="11"/>
  <c r="P2" i="11" s="1"/>
  <c r="Q2" i="11" s="1"/>
  <c r="N13" i="11"/>
  <c r="P13" i="11" s="1"/>
  <c r="Q13" i="11" s="1"/>
  <c r="N12" i="11"/>
  <c r="R11" i="12" l="1"/>
  <c r="Q11" i="12"/>
  <c r="R7" i="12"/>
  <c r="Q7" i="12"/>
  <c r="R5" i="12"/>
  <c r="R8" i="12"/>
  <c r="R2" i="12"/>
  <c r="R6" i="12"/>
  <c r="R4" i="12"/>
  <c r="R12" i="12"/>
  <c r="R14" i="12"/>
  <c r="R3" i="12"/>
  <c r="R9" i="12"/>
  <c r="R13" i="12"/>
  <c r="R10" i="12"/>
  <c r="P8" i="11"/>
  <c r="Q8" i="11" s="1"/>
  <c r="P10" i="11"/>
  <c r="Q10" i="11" s="1"/>
  <c r="P14" i="11"/>
  <c r="Q14" i="11" s="1"/>
  <c r="P5" i="11"/>
  <c r="R3" i="11"/>
  <c r="P7" i="11"/>
  <c r="P12" i="11"/>
  <c r="P11" i="11"/>
  <c r="Q16" i="10"/>
  <c r="P16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B16" i="10"/>
  <c r="Q7" i="10"/>
  <c r="Q8" i="10"/>
  <c r="O14" i="10"/>
  <c r="O9" i="10"/>
  <c r="O3" i="10"/>
  <c r="O6" i="10"/>
  <c r="O11" i="10"/>
  <c r="O5" i="10"/>
  <c r="O7" i="10"/>
  <c r="O10" i="10"/>
  <c r="P10" i="10" s="1"/>
  <c r="Q10" i="10" s="1"/>
  <c r="O8" i="10"/>
  <c r="P8" i="10" s="1"/>
  <c r="O4" i="10"/>
  <c r="O2" i="10"/>
  <c r="O13" i="10"/>
  <c r="O12" i="10"/>
  <c r="N14" i="10"/>
  <c r="N9" i="10"/>
  <c r="N3" i="10"/>
  <c r="N6" i="10"/>
  <c r="P6" i="10" s="1"/>
  <c r="Q6" i="10" s="1"/>
  <c r="N11" i="10"/>
  <c r="P11" i="10" s="1"/>
  <c r="Q11" i="10" s="1"/>
  <c r="N5" i="10"/>
  <c r="P5" i="10" s="1"/>
  <c r="Q5" i="10" s="1"/>
  <c r="N7" i="10"/>
  <c r="P7" i="10" s="1"/>
  <c r="N10" i="10"/>
  <c r="N8" i="10"/>
  <c r="N4" i="10"/>
  <c r="N2" i="10"/>
  <c r="N13" i="10"/>
  <c r="P13" i="10" s="1"/>
  <c r="Q13" i="10" s="1"/>
  <c r="N12" i="10"/>
  <c r="P12" i="10" s="1"/>
  <c r="Q12" i="10" s="1"/>
  <c r="R12" i="11" l="1"/>
  <c r="Q12" i="11"/>
  <c r="R13" i="11"/>
  <c r="Q5" i="11"/>
  <c r="R4" i="11"/>
  <c r="Q11" i="11"/>
  <c r="R7" i="11"/>
  <c r="Q7" i="11"/>
  <c r="R11" i="11"/>
  <c r="R6" i="11"/>
  <c r="R9" i="11"/>
  <c r="R2" i="11"/>
  <c r="R14" i="11"/>
  <c r="R10" i="11"/>
  <c r="R5" i="11"/>
  <c r="R8" i="11"/>
  <c r="P4" i="10"/>
  <c r="P9" i="10"/>
  <c r="P14" i="10"/>
  <c r="Q14" i="10" s="1"/>
  <c r="P2" i="10"/>
  <c r="Q2" i="10" s="1"/>
  <c r="P3" i="10"/>
  <c r="Q3" i="10" s="1"/>
  <c r="Q16" i="9"/>
  <c r="P16" i="9"/>
  <c r="C16" i="9"/>
  <c r="D16" i="9"/>
  <c r="E16" i="9"/>
  <c r="F16" i="9"/>
  <c r="G16" i="9"/>
  <c r="H16" i="9"/>
  <c r="I16" i="9"/>
  <c r="J16" i="9"/>
  <c r="K16" i="9"/>
  <c r="L16" i="9"/>
  <c r="M16" i="9"/>
  <c r="N16" i="9"/>
  <c r="O16" i="9"/>
  <c r="B16" i="9"/>
  <c r="Q3" i="9"/>
  <c r="Q4" i="9"/>
  <c r="Q9" i="9"/>
  <c r="O14" i="9"/>
  <c r="O9" i="9"/>
  <c r="O3" i="9"/>
  <c r="O6" i="9"/>
  <c r="O11" i="9"/>
  <c r="O5" i="9"/>
  <c r="P5" i="9" s="1"/>
  <c r="Q5" i="9" s="1"/>
  <c r="O7" i="9"/>
  <c r="O10" i="9"/>
  <c r="O8" i="9"/>
  <c r="O4" i="9"/>
  <c r="O2" i="9"/>
  <c r="O13" i="9"/>
  <c r="O12" i="9"/>
  <c r="N14" i="9"/>
  <c r="P14" i="9" s="1"/>
  <c r="Q14" i="9" s="1"/>
  <c r="N9" i="9"/>
  <c r="P9" i="9" s="1"/>
  <c r="N3" i="9"/>
  <c r="P3" i="9" s="1"/>
  <c r="N6" i="9"/>
  <c r="P6" i="9" s="1"/>
  <c r="Q6" i="9" s="1"/>
  <c r="N11" i="9"/>
  <c r="N5" i="9"/>
  <c r="N7" i="9"/>
  <c r="P7" i="9" s="1"/>
  <c r="Q7" i="9" s="1"/>
  <c r="N10" i="9"/>
  <c r="P10" i="9" s="1"/>
  <c r="Q10" i="9" s="1"/>
  <c r="N8" i="9"/>
  <c r="P8" i="9" s="1"/>
  <c r="Q8" i="9" s="1"/>
  <c r="N4" i="9"/>
  <c r="P4" i="9" s="1"/>
  <c r="N2" i="9"/>
  <c r="P2" i="9" s="1"/>
  <c r="Q2" i="9" s="1"/>
  <c r="N13" i="9"/>
  <c r="P13" i="9" s="1"/>
  <c r="Q13" i="9" s="1"/>
  <c r="N12" i="9"/>
  <c r="P16" i="8"/>
  <c r="O16" i="8"/>
  <c r="C16" i="8"/>
  <c r="D16" i="8"/>
  <c r="E16" i="8"/>
  <c r="F16" i="8"/>
  <c r="G16" i="8"/>
  <c r="H16" i="8"/>
  <c r="I16" i="8"/>
  <c r="J16" i="8"/>
  <c r="K16" i="8"/>
  <c r="L16" i="8"/>
  <c r="M16" i="8"/>
  <c r="N16" i="8"/>
  <c r="B16" i="8"/>
  <c r="P8" i="8"/>
  <c r="P14" i="8"/>
  <c r="N14" i="8"/>
  <c r="N9" i="8"/>
  <c r="N3" i="8"/>
  <c r="N6" i="8"/>
  <c r="N11" i="8"/>
  <c r="N5" i="8"/>
  <c r="N7" i="8"/>
  <c r="N10" i="8"/>
  <c r="N8" i="8"/>
  <c r="N4" i="8"/>
  <c r="N2" i="8"/>
  <c r="N13" i="8"/>
  <c r="N12" i="8"/>
  <c r="M14" i="8"/>
  <c r="O14" i="8" s="1"/>
  <c r="M9" i="8"/>
  <c r="O9" i="8" s="1"/>
  <c r="P9" i="8" s="1"/>
  <c r="M3" i="8"/>
  <c r="O3" i="8" s="1"/>
  <c r="P3" i="8" s="1"/>
  <c r="M6" i="8"/>
  <c r="M11" i="8"/>
  <c r="O11" i="8" s="1"/>
  <c r="P11" i="8" s="1"/>
  <c r="M5" i="8"/>
  <c r="M7" i="8"/>
  <c r="M10" i="8"/>
  <c r="O10" i="8" s="1"/>
  <c r="P10" i="8" s="1"/>
  <c r="M8" i="8"/>
  <c r="O8" i="8" s="1"/>
  <c r="M4" i="8"/>
  <c r="O4" i="8" s="1"/>
  <c r="P4" i="8" s="1"/>
  <c r="M2" i="8"/>
  <c r="O2" i="8" s="1"/>
  <c r="P2" i="8" s="1"/>
  <c r="M13" i="8"/>
  <c r="M12" i="8"/>
  <c r="O12" i="8" s="1"/>
  <c r="P12" i="8" s="1"/>
  <c r="R9" i="10" l="1"/>
  <c r="Q9" i="10"/>
  <c r="R4" i="10"/>
  <c r="Q4" i="10"/>
  <c r="R3" i="10"/>
  <c r="R11" i="10"/>
  <c r="R6" i="10"/>
  <c r="R2" i="10"/>
  <c r="R14" i="10"/>
  <c r="R7" i="10"/>
  <c r="R12" i="10"/>
  <c r="R8" i="10"/>
  <c r="R5" i="10"/>
  <c r="R13" i="10"/>
  <c r="R10" i="10"/>
  <c r="P11" i="9"/>
  <c r="Q11" i="9" s="1"/>
  <c r="P12" i="9"/>
  <c r="R10" i="9"/>
  <c r="R7" i="9"/>
  <c r="R11" i="9"/>
  <c r="R13" i="9"/>
  <c r="R6" i="9"/>
  <c r="R4" i="9"/>
  <c r="R14" i="9"/>
  <c r="R9" i="9"/>
  <c r="R2" i="9"/>
  <c r="R3" i="9"/>
  <c r="O13" i="8"/>
  <c r="P13" i="8" s="1"/>
  <c r="O6" i="8"/>
  <c r="Q10" i="8"/>
  <c r="O7" i="8"/>
  <c r="P7" i="8" s="1"/>
  <c r="O5" i="8"/>
  <c r="Q13" i="8"/>
  <c r="Q14" i="8"/>
  <c r="Q8" i="8"/>
  <c r="Q4" i="8"/>
  <c r="Q12" i="8"/>
  <c r="Q6" i="8"/>
  <c r="R12" i="9" l="1"/>
  <c r="Q12" i="9"/>
  <c r="R5" i="9"/>
  <c r="R8" i="9"/>
  <c r="Q2" i="8"/>
  <c r="P5" i="8"/>
  <c r="Q11" i="8"/>
  <c r="P6" i="8"/>
  <c r="Q3" i="8"/>
  <c r="Q5" i="8"/>
  <c r="Q9" i="8"/>
  <c r="Q7" i="8"/>
  <c r="P16" i="7" l="1"/>
  <c r="O16" i="7"/>
  <c r="C16" i="7"/>
  <c r="D16" i="7"/>
  <c r="E16" i="7"/>
  <c r="F16" i="7"/>
  <c r="G16" i="7"/>
  <c r="H16" i="7"/>
  <c r="I16" i="7"/>
  <c r="J16" i="7"/>
  <c r="K16" i="7"/>
  <c r="L16" i="7"/>
  <c r="M16" i="7"/>
  <c r="N16" i="7"/>
  <c r="B16" i="7"/>
  <c r="P4" i="7"/>
  <c r="P9" i="7"/>
  <c r="N14" i="7"/>
  <c r="N9" i="7"/>
  <c r="N3" i="7"/>
  <c r="N6" i="7"/>
  <c r="N11" i="7"/>
  <c r="N5" i="7"/>
  <c r="N7" i="7"/>
  <c r="N10" i="7"/>
  <c r="N8" i="7"/>
  <c r="N4" i="7"/>
  <c r="N2" i="7"/>
  <c r="N13" i="7"/>
  <c r="N12" i="7"/>
  <c r="M14" i="7"/>
  <c r="O14" i="7" s="1"/>
  <c r="P14" i="7" s="1"/>
  <c r="M9" i="7"/>
  <c r="O9" i="7" s="1"/>
  <c r="M3" i="7"/>
  <c r="O3" i="7" s="1"/>
  <c r="P3" i="7" s="1"/>
  <c r="M6" i="7"/>
  <c r="O6" i="7" s="1"/>
  <c r="P6" i="7" s="1"/>
  <c r="M11" i="7"/>
  <c r="O11" i="7" s="1"/>
  <c r="P11" i="7" s="1"/>
  <c r="M5" i="7"/>
  <c r="O5" i="7" s="1"/>
  <c r="P5" i="7" s="1"/>
  <c r="M7" i="7"/>
  <c r="M10" i="7"/>
  <c r="O10" i="7" s="1"/>
  <c r="P10" i="7" s="1"/>
  <c r="M8" i="7"/>
  <c r="O8" i="7" s="1"/>
  <c r="P8" i="7" s="1"/>
  <c r="M4" i="7"/>
  <c r="O4" i="7" s="1"/>
  <c r="M2" i="7"/>
  <c r="O2" i="7" s="1"/>
  <c r="P2" i="7" s="1"/>
  <c r="M13" i="7"/>
  <c r="O13" i="7" s="1"/>
  <c r="P13" i="7" s="1"/>
  <c r="M12" i="7"/>
  <c r="O12" i="7" s="1"/>
  <c r="P12" i="7" s="1"/>
  <c r="P16" i="6"/>
  <c r="O16" i="6"/>
  <c r="C16" i="6"/>
  <c r="D16" i="6"/>
  <c r="E16" i="6"/>
  <c r="F16" i="6"/>
  <c r="G16" i="6"/>
  <c r="H16" i="6"/>
  <c r="I16" i="6"/>
  <c r="J16" i="6"/>
  <c r="K16" i="6"/>
  <c r="L16" i="6"/>
  <c r="M16" i="6"/>
  <c r="N16" i="6"/>
  <c r="B16" i="6"/>
  <c r="N14" i="6"/>
  <c r="N9" i="6"/>
  <c r="N3" i="6"/>
  <c r="N6" i="6"/>
  <c r="N11" i="6"/>
  <c r="N5" i="6"/>
  <c r="N7" i="6"/>
  <c r="N10" i="6"/>
  <c r="N8" i="6"/>
  <c r="N4" i="6"/>
  <c r="N2" i="6"/>
  <c r="N13" i="6"/>
  <c r="N12" i="6"/>
  <c r="M14" i="6"/>
  <c r="M9" i="6"/>
  <c r="M3" i="6"/>
  <c r="M6" i="6"/>
  <c r="M11" i="6"/>
  <c r="M5" i="6"/>
  <c r="M7" i="6"/>
  <c r="O7" i="6" s="1"/>
  <c r="P7" i="6" s="1"/>
  <c r="M10" i="6"/>
  <c r="M8" i="6"/>
  <c r="M4" i="6"/>
  <c r="M2" i="6"/>
  <c r="M13" i="6"/>
  <c r="M12" i="6"/>
  <c r="O7" i="7" l="1"/>
  <c r="Q11" i="7"/>
  <c r="Q12" i="7"/>
  <c r="Q7" i="7"/>
  <c r="Q3" i="7"/>
  <c r="Q10" i="7"/>
  <c r="O10" i="6"/>
  <c r="P10" i="6" s="1"/>
  <c r="O5" i="6"/>
  <c r="P5" i="6" s="1"/>
  <c r="O13" i="6"/>
  <c r="P13" i="6" s="1"/>
  <c r="O6" i="6"/>
  <c r="P6" i="6" s="1"/>
  <c r="O2" i="6"/>
  <c r="P2" i="6" s="1"/>
  <c r="O3" i="6"/>
  <c r="P3" i="6" s="1"/>
  <c r="O12" i="6"/>
  <c r="O11" i="6"/>
  <c r="P11" i="6" s="1"/>
  <c r="O4" i="6"/>
  <c r="O9" i="6"/>
  <c r="P9" i="6" s="1"/>
  <c r="O8" i="6"/>
  <c r="P8" i="6" s="1"/>
  <c r="O14" i="6"/>
  <c r="Q9" i="7" l="1"/>
  <c r="P7" i="7"/>
  <c r="Q8" i="7"/>
  <c r="Q14" i="7"/>
  <c r="Q13" i="7"/>
  <c r="Q4" i="7"/>
  <c r="Q2" i="7"/>
  <c r="Q6" i="7"/>
  <c r="Q5" i="7"/>
  <c r="Q10" i="6"/>
  <c r="Q13" i="6"/>
  <c r="P4" i="6"/>
  <c r="Q14" i="6"/>
  <c r="P14" i="6"/>
  <c r="Q3" i="6"/>
  <c r="Q12" i="6"/>
  <c r="P12" i="6"/>
  <c r="Q2" i="6"/>
  <c r="Q11" i="6"/>
  <c r="Q5" i="6"/>
  <c r="Q7" i="6"/>
  <c r="Q8" i="6"/>
  <c r="Q9" i="6"/>
  <c r="Q4" i="6"/>
  <c r="Q6" i="6"/>
  <c r="P16" i="5" l="1"/>
  <c r="O16" i="5"/>
  <c r="C16" i="5"/>
  <c r="D16" i="5"/>
  <c r="E16" i="5"/>
  <c r="F16" i="5"/>
  <c r="G16" i="5"/>
  <c r="H16" i="5"/>
  <c r="I16" i="5"/>
  <c r="J16" i="5"/>
  <c r="K16" i="5"/>
  <c r="L16" i="5"/>
  <c r="M16" i="5"/>
  <c r="N16" i="5"/>
  <c r="B16" i="5"/>
  <c r="P6" i="5"/>
  <c r="N14" i="5"/>
  <c r="N9" i="5"/>
  <c r="N3" i="5"/>
  <c r="N6" i="5"/>
  <c r="N11" i="5"/>
  <c r="N5" i="5"/>
  <c r="N7" i="5"/>
  <c r="N10" i="5"/>
  <c r="N8" i="5"/>
  <c r="N4" i="5"/>
  <c r="N2" i="5"/>
  <c r="N13" i="5"/>
  <c r="N12" i="5"/>
  <c r="M14" i="5"/>
  <c r="M9" i="5"/>
  <c r="M3" i="5"/>
  <c r="M6" i="5"/>
  <c r="O6" i="5" s="1"/>
  <c r="M11" i="5"/>
  <c r="O11" i="5" s="1"/>
  <c r="P11" i="5" s="1"/>
  <c r="M5" i="5"/>
  <c r="O5" i="5" s="1"/>
  <c r="P5" i="5" s="1"/>
  <c r="M7" i="5"/>
  <c r="M10" i="5"/>
  <c r="M8" i="5"/>
  <c r="M4" i="5"/>
  <c r="M2" i="5"/>
  <c r="O2" i="5" s="1"/>
  <c r="P2" i="5" s="1"/>
  <c r="M13" i="5"/>
  <c r="O13" i="5" s="1"/>
  <c r="P13" i="5" s="1"/>
  <c r="M12" i="5"/>
  <c r="O12" i="5" s="1"/>
  <c r="P12" i="5" s="1"/>
  <c r="O3" i="5" l="1"/>
  <c r="P3" i="5" s="1"/>
  <c r="O4" i="5"/>
  <c r="P4" i="5" s="1"/>
  <c r="O9" i="5"/>
  <c r="P9" i="5" s="1"/>
  <c r="O8" i="5"/>
  <c r="O14" i="5"/>
  <c r="P14" i="5" s="1"/>
  <c r="O10" i="5"/>
  <c r="O7" i="5"/>
  <c r="N17" i="3"/>
  <c r="C16" i="4"/>
  <c r="D16" i="4"/>
  <c r="E16" i="4"/>
  <c r="F16" i="4"/>
  <c r="G16" i="4"/>
  <c r="H16" i="4"/>
  <c r="I16" i="4"/>
  <c r="J16" i="4"/>
  <c r="K16" i="4"/>
  <c r="L16" i="4"/>
  <c r="B16" i="4"/>
  <c r="N14" i="4"/>
  <c r="N9" i="4"/>
  <c r="N3" i="4"/>
  <c r="N6" i="4"/>
  <c r="N11" i="4"/>
  <c r="N5" i="4"/>
  <c r="N7" i="4"/>
  <c r="N10" i="4"/>
  <c r="N8" i="4"/>
  <c r="N4" i="4"/>
  <c r="N2" i="4"/>
  <c r="N13" i="4"/>
  <c r="N12" i="4"/>
  <c r="M14" i="4"/>
  <c r="M9" i="4"/>
  <c r="M3" i="4"/>
  <c r="M6" i="4"/>
  <c r="M11" i="4"/>
  <c r="M5" i="4"/>
  <c r="M7" i="4"/>
  <c r="M10" i="4"/>
  <c r="O10" i="4" s="1"/>
  <c r="M8" i="4"/>
  <c r="M4" i="4"/>
  <c r="M2" i="4"/>
  <c r="M13" i="4"/>
  <c r="M12" i="4"/>
  <c r="Q10" i="5" l="1"/>
  <c r="P10" i="5"/>
  <c r="Q7" i="5"/>
  <c r="P7" i="5"/>
  <c r="Q8" i="5"/>
  <c r="P8" i="5"/>
  <c r="Q2" i="5"/>
  <c r="Q6" i="5"/>
  <c r="Q14" i="5"/>
  <c r="Q5" i="5"/>
  <c r="Q13" i="5"/>
  <c r="Q9" i="5"/>
  <c r="Q11" i="5"/>
  <c r="Q4" i="5"/>
  <c r="Q12" i="5"/>
  <c r="Q3" i="5"/>
  <c r="O9" i="4"/>
  <c r="O4" i="4"/>
  <c r="N16" i="4"/>
  <c r="M16" i="4"/>
  <c r="O6" i="4"/>
  <c r="O13" i="4"/>
  <c r="O2" i="4"/>
  <c r="O3" i="4"/>
  <c r="O5" i="4"/>
  <c r="O8" i="4"/>
  <c r="O14" i="4"/>
  <c r="O7" i="4"/>
  <c r="O12" i="4"/>
  <c r="O11" i="4"/>
  <c r="N9" i="3"/>
  <c r="N3" i="3"/>
  <c r="N6" i="3"/>
  <c r="N11" i="3"/>
  <c r="N5" i="3"/>
  <c r="N7" i="3"/>
  <c r="N10" i="3"/>
  <c r="N8" i="3"/>
  <c r="N4" i="3"/>
  <c r="N2" i="3"/>
  <c r="N13" i="3"/>
  <c r="N12" i="3"/>
  <c r="N14" i="3"/>
  <c r="M9" i="3"/>
  <c r="M3" i="3"/>
  <c r="M6" i="3"/>
  <c r="M11" i="3"/>
  <c r="M5" i="3"/>
  <c r="M7" i="3"/>
  <c r="M10" i="3"/>
  <c r="M8" i="3"/>
  <c r="M4" i="3"/>
  <c r="M2" i="3"/>
  <c r="M13" i="3"/>
  <c r="M12" i="3"/>
  <c r="M14" i="3"/>
  <c r="P4" i="4" l="1"/>
  <c r="P8" i="4"/>
  <c r="P5" i="4"/>
  <c r="M17" i="3"/>
  <c r="O17" i="3" s="1"/>
  <c r="P7" i="4"/>
  <c r="Q3" i="4"/>
  <c r="O13" i="3"/>
  <c r="P13" i="4" s="1"/>
  <c r="O6" i="3"/>
  <c r="P6" i="4" s="1"/>
  <c r="O10" i="3"/>
  <c r="P10" i="4" s="1"/>
  <c r="O7" i="3"/>
  <c r="O5" i="3"/>
  <c r="Q11" i="4"/>
  <c r="Q13" i="4"/>
  <c r="Q9" i="4"/>
  <c r="Q10" i="4"/>
  <c r="Q7" i="4"/>
  <c r="Q14" i="4"/>
  <c r="O16" i="4"/>
  <c r="P16" i="4" s="1"/>
  <c r="Q5" i="4"/>
  <c r="Q12" i="4"/>
  <c r="Q4" i="4"/>
  <c r="Q8" i="4"/>
  <c r="Q2" i="4"/>
  <c r="Q6" i="4"/>
  <c r="O3" i="3"/>
  <c r="P3" i="4" s="1"/>
  <c r="O4" i="3"/>
  <c r="O14" i="3"/>
  <c r="P14" i="4" s="1"/>
  <c r="O8" i="3"/>
  <c r="O2" i="3"/>
  <c r="P2" i="4" s="1"/>
  <c r="O9" i="3"/>
  <c r="P9" i="4" s="1"/>
  <c r="O12" i="3"/>
  <c r="P12" i="4" s="1"/>
  <c r="O11" i="3"/>
  <c r="P11" i="4" s="1"/>
  <c r="N14" i="2"/>
  <c r="N5" i="2"/>
  <c r="N6" i="2"/>
  <c r="N9" i="2"/>
  <c r="N7" i="2"/>
  <c r="N8" i="2"/>
  <c r="N10" i="2"/>
  <c r="N4" i="2"/>
  <c r="O4" i="2" s="1"/>
  <c r="N11" i="2"/>
  <c r="N13" i="2"/>
  <c r="N3" i="2"/>
  <c r="N12" i="2"/>
  <c r="N2" i="2"/>
  <c r="O2" i="2" s="1"/>
  <c r="M14" i="2"/>
  <c r="O14" i="2" s="1"/>
  <c r="M5" i="2"/>
  <c r="M6" i="2"/>
  <c r="M9" i="2"/>
  <c r="M7" i="2"/>
  <c r="M8" i="2"/>
  <c r="M10" i="2"/>
  <c r="M4" i="2"/>
  <c r="M11" i="2"/>
  <c r="O11" i="2" s="1"/>
  <c r="M13" i="2"/>
  <c r="M3" i="2"/>
  <c r="M12" i="2"/>
  <c r="M2" i="2"/>
  <c r="P7" i="3" l="1"/>
  <c r="P11" i="3"/>
  <c r="P4" i="3"/>
  <c r="P10" i="3"/>
  <c r="P8" i="3"/>
  <c r="P13" i="3"/>
  <c r="P9" i="3"/>
  <c r="P6" i="3"/>
  <c r="P2" i="3"/>
  <c r="P5" i="3"/>
  <c r="P14" i="3"/>
  <c r="P12" i="3"/>
  <c r="O10" i="2"/>
  <c r="O7" i="2"/>
  <c r="O12" i="2"/>
  <c r="O6" i="2"/>
  <c r="O8" i="2"/>
  <c r="P8" i="2" s="1"/>
  <c r="O9" i="2"/>
  <c r="O3" i="2"/>
  <c r="P3" i="2" s="1"/>
  <c r="O13" i="2"/>
  <c r="P2" i="2" s="1"/>
  <c r="O5" i="2"/>
  <c r="P3" i="3" l="1"/>
  <c r="P9" i="2"/>
  <c r="P12" i="2"/>
  <c r="P5" i="2"/>
  <c r="P11" i="2"/>
  <c r="P10" i="2"/>
  <c r="P4" i="2"/>
  <c r="P7" i="2"/>
  <c r="P14" i="2"/>
  <c r="P13" i="2"/>
  <c r="P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A79365-183A-42C2-80FB-DEEC54536DCA}" keepAlive="1" name="Query - progress-assignment-fd68e454-ba45-4b85-8205-f3bf777ded 16 juli" description="Connection to the 'progress-assignment-fd68e454-ba45-4b85-8205-f3bf777ded 16 juli' query in the workbook." type="5" refreshedVersion="6" background="1" saveData="1">
    <dbPr connection="Provider=Microsoft.Mashup.OleDb.1;Data Source=$Workbook$;Location=progress-assignment-fd68e454-ba45-4b85-8205-f3bf777ded 16 juli;Extended Properties=&quot;&quot;" command="SELECT * FROM [progress-assignment-fd68e454-ba45-4b85-8205-f3bf777ded 16 juli]"/>
  </connection>
  <connection id="2" xr16:uid="{55BD505A-56A0-42A7-9E58-9879C3CFBA81}" keepAlive="1" name="Query - progress-assignment-fd68e454-ba45-4b85-8205-f3bf777ded24 (19)" description="Connection to the 'progress-assignment-fd68e454-ba45-4b85-8205-f3bf777ded24 (19)' query in the workbook." type="5" refreshedVersion="6" background="1" saveData="1">
    <dbPr connection="Provider=Microsoft.Mashup.OleDb.1;Data Source=$Workbook$;Location=progress-assignment-fd68e454-ba45-4b85-8205-f3bf777ded24 (19);Extended Properties=&quot;&quot;" command="SELECT * FROM [progress-assignment-fd68e454-ba45-4b85-8205-f3bf777ded24 (19)]"/>
  </connection>
  <connection id="3" xr16:uid="{E9014858-A2C0-4895-83B0-F57FB3831DC2}" keepAlive="1" name="Query - progress-assignment-fd68e454-ba45-4b85-8205-f3bf777ded24 (20)" description="Connection to the 'progress-assignment-fd68e454-ba45-4b85-8205-f3bf777ded24 (20)' query in the workbook." type="5" refreshedVersion="6" background="1" saveData="1">
    <dbPr connection="Provider=Microsoft.Mashup.OleDb.1;Data Source=$Workbook$;Location=progress-assignment-fd68e454-ba45-4b85-8205-f3bf777ded24 (20);Extended Properties=&quot;&quot;" command="SELECT * FROM [progress-assignment-fd68e454-ba45-4b85-8205-f3bf777ded24 (20)]"/>
  </connection>
  <connection id="4" xr16:uid="{E4880717-E07D-435C-B5B1-A63A2F301023}" keepAlive="1" name="Query - progress-assignment-fd68e454-ba45-4b85-8205-f3bf777ded24 (21)" description="Connection to the 'progress-assignment-fd68e454-ba45-4b85-8205-f3bf777ded24 (21)' query in the workbook." type="5" refreshedVersion="6" background="1" saveData="1">
    <dbPr connection="Provider=Microsoft.Mashup.OleDb.1;Data Source=$Workbook$;Location=progress-assignment-fd68e454-ba45-4b85-8205-f3bf777ded24 (21);Extended Properties=&quot;&quot;" command="SELECT * FROM [progress-assignment-fd68e454-ba45-4b85-8205-f3bf777ded24 (21)]"/>
  </connection>
  <connection id="5" xr16:uid="{BDE2EC8E-E51C-4C4C-9E3E-C4593E4DE0B9}" keepAlive="1" name="Query - progress-assignment-fd68e454-ba45-4b85-8205-f3bf777ded24 (22)" description="Connection to the 'progress-assignment-fd68e454-ba45-4b85-8205-f3bf777ded24 (22)' query in the workbook." type="5" refreshedVersion="6" background="1" saveData="1">
    <dbPr connection="Provider=Microsoft.Mashup.OleDb.1;Data Source=$Workbook$;Location=progress-assignment-fd68e454-ba45-4b85-8205-f3bf777ded24 (22);Extended Properties=&quot;&quot;" command="SELECT * FROM [progress-assignment-fd68e454-ba45-4b85-8205-f3bf777ded24 (22)]"/>
  </connection>
  <connection id="6" xr16:uid="{402B08E5-E34F-4AFB-9919-8BD04E562EF9}" keepAlive="1" name="Query - progress-assignment-fd68e454-ba45-4b85-8205-f3bf777ded24 (23)" description="Connection to the 'progress-assignment-fd68e454-ba45-4b85-8205-f3bf777ded24 (23)' query in the workbook." type="5" refreshedVersion="6" background="1" saveData="1">
    <dbPr connection="Provider=Microsoft.Mashup.OleDb.1;Data Source=$Workbook$;Location=progress-assignment-fd68e454-ba45-4b85-8205-f3bf777ded24 (23);Extended Properties=&quot;&quot;" command="SELECT * FROM [progress-assignment-fd68e454-ba45-4b85-8205-f3bf777ded24 (23)]"/>
  </connection>
  <connection id="7" xr16:uid="{CA9D0BB2-5249-453F-A219-9D6C08EDDB8E}" keepAlive="1" name="Query - progress-assignment-fd68e454-ba45-4b85-8205-f3bf777ded24 (24)" description="Connection to the 'progress-assignment-fd68e454-ba45-4b85-8205-f3bf777ded24 (24)' query in the workbook." type="5" refreshedVersion="6" background="1" saveData="1">
    <dbPr connection="Provider=Microsoft.Mashup.OleDb.1;Data Source=$Workbook$;Location=progress-assignment-fd68e454-ba45-4b85-8205-f3bf777ded24 (24);Extended Properties=&quot;&quot;" command="SELECT * FROM [progress-assignment-fd68e454-ba45-4b85-8205-f3bf777ded24 (24)]"/>
  </connection>
  <connection id="8" xr16:uid="{FC0A4024-353E-490E-BC0E-6FBE04B76935}" keepAlive="1" name="Query - progress-assignment-fd68e454-ba45-4b85-8205-f3bf777ded24 (26)" description="Connection to the 'progress-assignment-fd68e454-ba45-4b85-8205-f3bf777ded24 (26)' query in the workbook." type="5" refreshedVersion="6" background="1" saveData="1">
    <dbPr connection="Provider=Microsoft.Mashup.OleDb.1;Data Source=$Workbook$;Location=progress-assignment-fd68e454-ba45-4b85-8205-f3bf777ded24 (26);Extended Properties=&quot;&quot;" command="SELECT * FROM [progress-assignment-fd68e454-ba45-4b85-8205-f3bf777ded24 (26)]"/>
  </connection>
  <connection id="9" xr16:uid="{AA8C3728-140C-483F-AE9B-63B68966323F}" keepAlive="1" name="Query - progress-assignment-fd68e454-ba45-4b85-8205-f3bf777ded24 (27)" description="Connection to the 'progress-assignment-fd68e454-ba45-4b85-8205-f3bf777ded24 (27)' query in the workbook." type="5" refreshedVersion="6" background="1" saveData="1">
    <dbPr connection="Provider=Microsoft.Mashup.OleDb.1;Data Source=$Workbook$;Location=progress-assignment-fd68e454-ba45-4b85-8205-f3bf777ded24 (27);Extended Properties=&quot;&quot;" command="SELECT * FROM [progress-assignment-fd68e454-ba45-4b85-8205-f3bf777ded24 (27)]"/>
  </connection>
  <connection id="10" xr16:uid="{85AD6EC9-565A-463C-ACB9-A08E7BDC25AC}" keepAlive="1" name="Query - progress-assignment-fd68e454-ba45-4b85-8205-f3bf777ded24 (3)" description="Connection to the 'progress-assignment-fd68e454-ba45-4b85-8205-f3bf777ded24 (3)' query in the workbook." type="5" refreshedVersion="6" background="1" saveData="1">
    <dbPr connection="Provider=Microsoft.Mashup.OleDb.1;Data Source=$Workbook$;Location=progress-assignment-fd68e454-ba45-4b85-8205-f3bf777ded24 (3);Extended Properties=&quot;&quot;" command="SELECT * FROM [progress-assignment-fd68e454-ba45-4b85-8205-f3bf777ded24 (3)]"/>
  </connection>
  <connection id="11" xr16:uid="{53B5B665-3C19-4D17-AEA5-96140D95F3F0}" keepAlive="1" name="Query - progress-assignment-fd68e454-ba45-4b85-8205-f3bf777ded24 (5)" description="Connection to the 'progress-assignment-fd68e454-ba45-4b85-8205-f3bf777ded24 (5)' query in the workbook." type="5" refreshedVersion="6" background="1" saveData="1">
    <dbPr connection="Provider=Microsoft.Mashup.OleDb.1;Data Source=$Workbook$;Location=progress-assignment-fd68e454-ba45-4b85-8205-f3bf777ded24 (5);Extended Properties=&quot;&quot;" command="SELECT * FROM [progress-assignment-fd68e454-ba45-4b85-8205-f3bf777ded24 (5)]"/>
  </connection>
  <connection id="12" xr16:uid="{DC3E5DA0-23E5-4F68-A58B-4377EDEFE70A}" keepAlive="1" name="Query - progress-assignment-fd68e454-ba45-4b85-8205-f3bf777ded24 (6)" description="Connection to the 'progress-assignment-fd68e454-ba45-4b85-8205-f3bf777ded24 (6)' query in the workbook." type="5" refreshedVersion="6" background="1" saveData="1">
    <dbPr connection="Provider=Microsoft.Mashup.OleDb.1;Data Source=$Workbook$;Location=progress-assignment-fd68e454-ba45-4b85-8205-f3bf777ded24 (6);Extended Properties=&quot;&quot;" command="SELECT * FROM [progress-assignment-fd68e454-ba45-4b85-8205-f3bf777ded24 (6)]"/>
  </connection>
  <connection id="13" xr16:uid="{2CAFDDAF-02D8-407C-8716-5278090D147F}" keepAlive="1" name="Query - progress-assignment-fd68e454-ba45-4b85-8205-f3bf777ded24 10 Juli" description="Connection to the 'progress-assignment-fd68e454-ba45-4b85-8205-f3bf777ded24 10 Juli' query in the workbook." type="5" refreshedVersion="6" background="1" saveData="1">
    <dbPr connection="Provider=Microsoft.Mashup.OleDb.1;Data Source=$Workbook$;Location=progress-assignment-fd68e454-ba45-4b85-8205-f3bf777ded24 10 Juli;Extended Properties=&quot;&quot;" command="SELECT * FROM [progress-assignment-fd68e454-ba45-4b85-8205-f3bf777ded24 10 Juli]"/>
  </connection>
  <connection id="14" xr16:uid="{A84721DE-CD91-4FA9-A135-DCEEB80DBC90}" keepAlive="1" name="Query - progress-assignment-fd68e454-ba45-4b85-8205-f3bf777ded24 11 Juli" description="Connection to the 'progress-assignment-fd68e454-ba45-4b85-8205-f3bf777ded24 11 Juli' query in the workbook." type="5" refreshedVersion="6" background="1" saveData="1">
    <dbPr connection="Provider=Microsoft.Mashup.OleDb.1;Data Source=$Workbook$;Location=progress-assignment-fd68e454-ba45-4b85-8205-f3bf777ded24 11 Juli;Extended Properties=&quot;&quot;" command="SELECT * FROM [progress-assignment-fd68e454-ba45-4b85-8205-f3bf777ded24 11 Juli]"/>
  </connection>
  <connection id="15" xr16:uid="{617CA282-5053-431A-8591-3726D392C791}" keepAlive="1" name="Query - progress-assignment-fd68e454-ba45-4b85-8205-f3bf777ded24 12 juli" description="Connection to the 'progress-assignment-fd68e454-ba45-4b85-8205-f3bf777ded24 12 juli' query in the workbook." type="5" refreshedVersion="6" background="1" saveData="1">
    <dbPr connection="Provider=Microsoft.Mashup.OleDb.1;Data Source=$Workbook$;Location=progress-assignment-fd68e454-ba45-4b85-8205-f3bf777ded24 12 juli;Extended Properties=&quot;&quot;" command="SELECT * FROM [progress-assignment-fd68e454-ba45-4b85-8205-f3bf777ded24 12 juli]"/>
  </connection>
  <connection id="16" xr16:uid="{921B9728-5D87-4225-B510-D1EC88BEC372}" keepAlive="1" name="Query - progress-assignment-fd68e454-ba45-4b85-8205-f3bf777ded24 13 juli" description="Connection to the 'progress-assignment-fd68e454-ba45-4b85-8205-f3bf777ded24 13 juli' query in the workbook." type="5" refreshedVersion="6" background="1" saveData="1">
    <dbPr connection="Provider=Microsoft.Mashup.OleDb.1;Data Source=$Workbook$;Location=progress-assignment-fd68e454-ba45-4b85-8205-f3bf777ded24 13 juli;Extended Properties=&quot;&quot;" command="SELECT * FROM [progress-assignment-fd68e454-ba45-4b85-8205-f3bf777ded24 13 juli]"/>
  </connection>
  <connection id="17" xr16:uid="{A287B338-EF3C-49EE-9A28-DEB0DDF06F2E}" keepAlive="1" name="Query - progress-assignment-fd68e454-ba45-4b85-8205-f3bf777ded24 14 juli" description="Connection to the 'progress-assignment-fd68e454-ba45-4b85-8205-f3bf777ded24 14 juli' query in the workbook." type="5" refreshedVersion="6" background="1" saveData="1">
    <dbPr connection="Provider=Microsoft.Mashup.OleDb.1;Data Source=$Workbook$;Location=progress-assignment-fd68e454-ba45-4b85-8205-f3bf777ded24 14 juli;Extended Properties=&quot;&quot;" command="SELECT * FROM [progress-assignment-fd68e454-ba45-4b85-8205-f3bf777ded24 14 juli]"/>
  </connection>
  <connection id="18" xr16:uid="{54EEFE0D-6E53-4BA5-BCE9-2EB56507E047}" keepAlive="1" name="Query - progress-assignment-fd68e454-ba45-4b85-8205-f3bf777ded24 17 juli" description="Connection to the 'progress-assignment-fd68e454-ba45-4b85-8205-f3bf777ded24 17 juli' query in the workbook." type="5" refreshedVersion="6" background="1" saveData="1">
    <dbPr connection="Provider=Microsoft.Mashup.OleDb.1;Data Source=$Workbook$;Location=progress-assignment-fd68e454-ba45-4b85-8205-f3bf777ded24 17 juli;Extended Properties=&quot;&quot;" command="SELECT * FROM [progress-assignment-fd68e454-ba45-4b85-8205-f3bf777ded24 17 juli]"/>
  </connection>
  <connection id="19" xr16:uid="{CEB8C47B-B395-4225-8495-4C431AF32491}" keepAlive="1" name="Query - progress-assignment-fd68e454-ba45-4b85-8205-f3bf777ded24 18 Juli" description="Connection to the 'progress-assignment-fd68e454-ba45-4b85-8205-f3bf777ded24 18 Juli' query in the workbook." type="5" refreshedVersion="6" background="1" saveData="1">
    <dbPr connection="Provider=Microsoft.Mashup.OleDb.1;Data Source=$Workbook$;Location=progress-assignment-fd68e454-ba45-4b85-8205-f3bf777ded24 18 Juli;Extended Properties=&quot;&quot;" command="SELECT * FROM [progress-assignment-fd68e454-ba45-4b85-8205-f3bf777ded24 18 Juli]"/>
  </connection>
  <connection id="20" xr16:uid="{9A7EBA24-EF33-4FB7-8639-C533C78211F1}" keepAlive="1" name="Query - progress-assignment-fd68e454-ba45-4b85-8205-f3bf777ded24 8juli" description="Connection to the 'progress-assignment-fd68e454-ba45-4b85-8205-f3bf777ded24 8juli' query in the workbook." type="5" refreshedVersion="6" background="1" saveData="1">
    <dbPr connection="Provider=Microsoft.Mashup.OleDb.1;Data Source=$Workbook$;Location=progress-assignment-fd68e454-ba45-4b85-8205-f3bf777ded24 8juli;Extended Properties=&quot;&quot;" command="SELECT * FROM [progress-assignment-fd68e454-ba45-4b85-8205-f3bf777ded24 8juli]"/>
  </connection>
  <connection id="21" xr16:uid="{774B3ECB-641A-4794-9768-D03F08F6438F}" keepAlive="1" name="Query - progress-assignment-fd68e454-ba45-4b85-8205-f3bf777ded24 9 juli" description="Connection to the 'progress-assignment-fd68e454-ba45-4b85-8205-f3bf777ded24 9 juli' query in the workbook." type="5" refreshedVersion="6" background="1" saveData="1">
    <dbPr connection="Provider=Microsoft.Mashup.OleDb.1;Data Source=$Workbook$;Location=progress-assignment-fd68e454-ba45-4b85-8205-f3bf777ded24 9 juli;Extended Properties=&quot;&quot;" command="SELECT * FROM [progress-assignment-fd68e454-ba45-4b85-8205-f3bf777ded24 9 juli]"/>
  </connection>
  <connection id="22" xr16:uid="{44DD4A57-3718-4A62-883C-25B5B29832E6}" keepAlive="1" name="Query - progress-assignment-fd68e454-ba45-4b85-8205-f3bf777ded24 sulteng 6 Juli 2026" description="Connection to the 'progress-assignment-fd68e454-ba45-4b85-8205-f3bf777ded24 sulteng 6 Juli 2026' query in the workbook." type="5" refreshedVersion="6" background="1" saveData="1">
    <dbPr connection="Provider=Microsoft.Mashup.OleDb.1;Data Source=$Workbook$;Location=progress-assignment-fd68e454-ba45-4b85-8205-f3bf777ded24 sulteng 6 Juli 2026;Extended Properties=&quot;&quot;" command="SELECT * FROM [progress-assignment-fd68e454-ba45-4b85-8205-f3bf777ded24 sulteng 6 Juli 2026]"/>
  </connection>
  <connection id="23" xr16:uid="{C3C22697-3A37-40F3-A5E6-86E8AF6C2059}" keepAlive="1" name="Query - rekap_se_umum_2607" description="Connection to the 'rekap_se_umum_2607' query in the workbook." type="5" refreshedVersion="6" background="1" saveData="1">
    <dbPr connection="Provider=Microsoft.Mashup.OleDb.1;Data Source=$Workbook$;Location=rekap_se_umum_2607;Extended Properties=&quot;&quot;" command="SELECT * FROM [rekap_se_umum_2607]"/>
  </connection>
</connections>
</file>

<file path=xl/sharedStrings.xml><?xml version="1.0" encoding="utf-8"?>
<sst xmlns="http://schemas.openxmlformats.org/spreadsheetml/2006/main" count="818" uniqueCount="240">
  <si>
    <t>Wilayah</t>
  </si>
  <si>
    <t>OPEN</t>
  </si>
  <si>
    <t>APPROVED BY Pengawas</t>
  </si>
  <si>
    <t>SUBMITTED BY Pencacah</t>
  </si>
  <si>
    <t>DRAFT</t>
  </si>
  <si>
    <t>REJECTED BY Pengawas</t>
  </si>
  <si>
    <t>EDITED BY Admin Kabupaten</t>
  </si>
  <si>
    <t>COMPLETED BY Admin Kabupaten</t>
  </si>
  <si>
    <t>REVOKED BY Pengawas</t>
  </si>
  <si>
    <t>SUBMITTED RESPONDENT</t>
  </si>
  <si>
    <t>EDITED BY Pengawas</t>
  </si>
  <si>
    <t>REJECTED BY Admin Kabupaten</t>
  </si>
  <si>
    <t>Total</t>
  </si>
  <si>
    <t>Not Draft + Open</t>
  </si>
  <si>
    <t>Persentase</t>
  </si>
  <si>
    <t>Peringkat</t>
  </si>
  <si>
    <t>Delta</t>
  </si>
  <si>
    <t>Rank</t>
  </si>
  <si>
    <t>REVOKED BY Admin Kabupaten</t>
  </si>
  <si>
    <t>selisih draft</t>
  </si>
  <si>
    <t>selisih rejected</t>
  </si>
  <si>
    <t>selisih revoked</t>
  </si>
  <si>
    <t>Kabupaten</t>
  </si>
  <si>
    <t>Kecamatan</t>
  </si>
  <si>
    <t>Total Prelist</t>
  </si>
  <si>
    <t>Total Draft</t>
  </si>
  <si>
    <t>Total Open</t>
  </si>
  <si>
    <t>Total Submitted</t>
  </si>
  <si>
    <t>Total Rejected</t>
  </si>
  <si>
    <t>Total Approved</t>
  </si>
  <si>
    <t>Submitted Pencacah</t>
  </si>
  <si>
    <t>Submitted Respondent</t>
  </si>
  <si>
    <t>Today Completed</t>
  </si>
  <si>
    <t>Yesterday Completed</t>
  </si>
  <si>
    <t>New Usaha</t>
  </si>
  <si>
    <t>New Rumah</t>
  </si>
  <si>
    <t>[01] BANGGAI KEPULAUAN</t>
  </si>
  <si>
    <t>[000] -</t>
  </si>
  <si>
    <t>[030] TOTIKUM</t>
  </si>
  <si>
    <t>[031] TOTIKUM SELATAN</t>
  </si>
  <si>
    <t>[040] TINANGKUNG</t>
  </si>
  <si>
    <t>[041] TINANGKUNG SELATAN</t>
  </si>
  <si>
    <t>[042] TINANGKUNG UTARA</t>
  </si>
  <si>
    <t>[050] LIANG</t>
  </si>
  <si>
    <t>[051] PELING TENGAH</t>
  </si>
  <si>
    <t>[060] BULAGI</t>
  </si>
  <si>
    <t>[061] BULAGI SELATAN</t>
  </si>
  <si>
    <t>[062] BULAGI UTARA</t>
  </si>
  <si>
    <t>[070] BUKO</t>
  </si>
  <si>
    <t>[071] BUKO SELATAN</t>
  </si>
  <si>
    <t>[02] BANGGAI</t>
  </si>
  <si>
    <t>[010] TOILI</t>
  </si>
  <si>
    <t>[011] TOILI BARAT</t>
  </si>
  <si>
    <t>[012] MOILONG</t>
  </si>
  <si>
    <t>[013] TOILI JAYA</t>
  </si>
  <si>
    <t>[020] BATUI</t>
  </si>
  <si>
    <t>[021] BATUI SELATAN</t>
  </si>
  <si>
    <t>[030] BUNTA</t>
  </si>
  <si>
    <t>[031] NUHON</t>
  </si>
  <si>
    <t>[032] SIMPANG RAYA</t>
  </si>
  <si>
    <t>[040] KINTOM</t>
  </si>
  <si>
    <t>[050] LUWUK</t>
  </si>
  <si>
    <t>[051] LUWUK TIMUR</t>
  </si>
  <si>
    <t>[052] LUWUK UTARA</t>
  </si>
  <si>
    <t>[053] LUWUK SELATAN</t>
  </si>
  <si>
    <t>[054] NAMBO</t>
  </si>
  <si>
    <t>[060] PAGIMANA</t>
  </si>
  <si>
    <t>[061] BUALEMO</t>
  </si>
  <si>
    <t>[062] LOBU</t>
  </si>
  <si>
    <t>[070] LAMALA</t>
  </si>
  <si>
    <t>[071] MASAMA</t>
  </si>
  <si>
    <t>[072] MANTOH</t>
  </si>
  <si>
    <t>[080] BALANTAK</t>
  </si>
  <si>
    <t>[081] BALANTAK SELATAN</t>
  </si>
  <si>
    <t>[082] BALANTAK UTARA</t>
  </si>
  <si>
    <t>[03] MOROWALI</t>
  </si>
  <si>
    <t>[010] MENUI KEPULAUAN</t>
  </si>
  <si>
    <t>[011] SOMBORI KEPULAUAN</t>
  </si>
  <si>
    <t>[020] BUNGKU SELATAN</t>
  </si>
  <si>
    <t>[021] BAHODOPI</t>
  </si>
  <si>
    <t>[022] BUNGKU PESISIR</t>
  </si>
  <si>
    <t>[030] BUNGKU TENGAH</t>
  </si>
  <si>
    <t>[031] BUNGKU TIMUR</t>
  </si>
  <si>
    <t>[040] BUNGKU BARAT</t>
  </si>
  <si>
    <t>[041] BUMI RAYA</t>
  </si>
  <si>
    <t>[042] WITA PONDA</t>
  </si>
  <si>
    <t>[04] POSO</t>
  </si>
  <si>
    <t>[010] PAMONA SELATAN</t>
  </si>
  <si>
    <t>[011] PAMONA BARAT</t>
  </si>
  <si>
    <t>[012] PAMONA TENGGARA</t>
  </si>
  <si>
    <t>[020] LORE SELATAN</t>
  </si>
  <si>
    <t>[021] LORE BARAT</t>
  </si>
  <si>
    <t>[030] PAMONA PUSALEMBA</t>
  </si>
  <si>
    <t>[031] PAMONA TIMUR</t>
  </si>
  <si>
    <t>[032] PAMONA UTARA</t>
  </si>
  <si>
    <t>[040] LORE UTARA</t>
  </si>
  <si>
    <t>[041] LORE TENGAH</t>
  </si>
  <si>
    <t>[042] LORE TIMUR</t>
  </si>
  <si>
    <t>[043] LORE PEORE</t>
  </si>
  <si>
    <t>[050] POSO PESISIR</t>
  </si>
  <si>
    <t>[051] POSO PESISIR SELATAN</t>
  </si>
  <si>
    <t>[052] POSO PESISIR UTARA</t>
  </si>
  <si>
    <t>[060] LAGE</t>
  </si>
  <si>
    <t>[070] POSO KOTA</t>
  </si>
  <si>
    <t>[071] POSO KOTA UTARA</t>
  </si>
  <si>
    <t>[072] POSO KOTA SELATAN</t>
  </si>
  <si>
    <t>[05] DONGGALA</t>
  </si>
  <si>
    <t>[041] RIO PAKAVA</t>
  </si>
  <si>
    <t>[051] PINEMBANI</t>
  </si>
  <si>
    <t>[080] BANAWA</t>
  </si>
  <si>
    <t>[081] BANAWA SELATAN</t>
  </si>
  <si>
    <t>[082] BANAWA TENGAH</t>
  </si>
  <si>
    <t>[090] LABUAN</t>
  </si>
  <si>
    <t>[091] TANANTOVEA</t>
  </si>
  <si>
    <t>[100] SINDUE</t>
  </si>
  <si>
    <t>[101] SINDUE TOMBUSABORA</t>
  </si>
  <si>
    <t>[102] SINDUE TOBATA</t>
  </si>
  <si>
    <t>[120] SIRENJA</t>
  </si>
  <si>
    <t>[130] BALAESANG</t>
  </si>
  <si>
    <t>[131] BALAESANG TANJUNG</t>
  </si>
  <si>
    <t>[140] DAMPELAS</t>
  </si>
  <si>
    <t>[160] SOJOL</t>
  </si>
  <si>
    <t>[161] SOJOL UTARA</t>
  </si>
  <si>
    <t>[06] TOLI-TOLI</t>
  </si>
  <si>
    <t>[010] DAMPAL SELATAN</t>
  </si>
  <si>
    <t>[020] DAMPAL UTARA</t>
  </si>
  <si>
    <t>[030] DONDO</t>
  </si>
  <si>
    <t>[031] OGODEIDE</t>
  </si>
  <si>
    <t>[032] BASIDONDO</t>
  </si>
  <si>
    <t>[040] BAOLAN</t>
  </si>
  <si>
    <t>[041] LAMPASIO</t>
  </si>
  <si>
    <t>[050] GALANG</t>
  </si>
  <si>
    <t>[060] TOLITOLI UTARA</t>
  </si>
  <si>
    <t>[061] DAKO PEMEAN</t>
  </si>
  <si>
    <t>[07] BUOL</t>
  </si>
  <si>
    <t>[010] LAKEA</t>
  </si>
  <si>
    <t>[011] BIAU</t>
  </si>
  <si>
    <t>[012] KARAMAT</t>
  </si>
  <si>
    <t>[020] MOMUNU</t>
  </si>
  <si>
    <t>[021] TILOAN</t>
  </si>
  <si>
    <t>[030] BOKAT</t>
  </si>
  <si>
    <t>[031] BUKAL</t>
  </si>
  <si>
    <t>[040] BUNOBOGU</t>
  </si>
  <si>
    <t>[041] GADUNG</t>
  </si>
  <si>
    <t>[050] PALELEH</t>
  </si>
  <si>
    <t>[051] PALELEH BARAT</t>
  </si>
  <si>
    <t>[08] PARIGI MOUTONG</t>
  </si>
  <si>
    <t>[010] SAUSU</t>
  </si>
  <si>
    <t>[011] TORUE</t>
  </si>
  <si>
    <t>[012] BALINGGI</t>
  </si>
  <si>
    <t>[020] PARIGI</t>
  </si>
  <si>
    <t>[021] PARIGI SELATAN</t>
  </si>
  <si>
    <t>[022] PARIGI BARAT</t>
  </si>
  <si>
    <t>[023] PARIGI UTARA</t>
  </si>
  <si>
    <t>[024] PARIGI TENGAH</t>
  </si>
  <si>
    <t>[030] AMPIBABO</t>
  </si>
  <si>
    <t>[031] KASIMBAR</t>
  </si>
  <si>
    <t>[032] TORIBULU</t>
  </si>
  <si>
    <t>[033] SINIU</t>
  </si>
  <si>
    <t>[040] TINOMBO</t>
  </si>
  <si>
    <t>[041] TINOMBO SELATAN</t>
  </si>
  <si>
    <t>[042] SIDOAN</t>
  </si>
  <si>
    <t>[050] TOMINI</t>
  </si>
  <si>
    <t>[051] MEPANGA</t>
  </si>
  <si>
    <t>[052] PALASA</t>
  </si>
  <si>
    <t>[060] MOUTONG</t>
  </si>
  <si>
    <t>[061] BOLANO LAMBUNU</t>
  </si>
  <si>
    <t>[062] TAOPA</t>
  </si>
  <si>
    <t>[063] BOLANO</t>
  </si>
  <si>
    <t>[064] ONGKA MALINO</t>
  </si>
  <si>
    <t>[09] TOJO UNA-UNA</t>
  </si>
  <si>
    <t>[010] TOJO BARAT</t>
  </si>
  <si>
    <t>[020] TOJO</t>
  </si>
  <si>
    <t>[030] ULUBONGKA</t>
  </si>
  <si>
    <t>[040] AMPANA TETE</t>
  </si>
  <si>
    <t>[050] AMPANA KOTA</t>
  </si>
  <si>
    <t>[051] RATOLINDO</t>
  </si>
  <si>
    <t>[060] UNA - UNA</t>
  </si>
  <si>
    <t>[061] BATUDAKA</t>
  </si>
  <si>
    <t>[070] TOGEAN</t>
  </si>
  <si>
    <t>[080] WALEA KEPULAUAN</t>
  </si>
  <si>
    <t>[081] WALEA BESAR</t>
  </si>
  <si>
    <t>[082] TALATAKO</t>
  </si>
  <si>
    <t>[10] SIGI</t>
  </si>
  <si>
    <t>[010] PIPIKORO</t>
  </si>
  <si>
    <t>[020] KULAWI SELATAN</t>
  </si>
  <si>
    <t>[030] KULAWI</t>
  </si>
  <si>
    <t>[040] LINDU</t>
  </si>
  <si>
    <t>[050] NOKILALAKI</t>
  </si>
  <si>
    <t>[060] PALOLO</t>
  </si>
  <si>
    <t>[070] GUMBASA</t>
  </si>
  <si>
    <t>[080] DOLO SELATAN</t>
  </si>
  <si>
    <t>[090] DOLO BARAT</t>
  </si>
  <si>
    <t>[100] TANAMBULAVA</t>
  </si>
  <si>
    <t>[110] DOLO</t>
  </si>
  <si>
    <t>[120] SIGI BIROMARU</t>
  </si>
  <si>
    <t>[121] SIGI KOTA</t>
  </si>
  <si>
    <t>[130] MARAWOLA</t>
  </si>
  <si>
    <t>[140] MARAWOLA BARAT</t>
  </si>
  <si>
    <t>[150] KINOVARO</t>
  </si>
  <si>
    <t>[11] BANGGAI LAUT</t>
  </si>
  <si>
    <t>[010] BANGKURUNG</t>
  </si>
  <si>
    <t>[020] LABOBO</t>
  </si>
  <si>
    <t>[030] BANGGAI UTARA</t>
  </si>
  <si>
    <t>[040] BANGGAI</t>
  </si>
  <si>
    <t>[050] BANGGAI TENGAH</t>
  </si>
  <si>
    <t>[060] BANGGAI SELATAN</t>
  </si>
  <si>
    <t>[070] BOKAN KEPULAUAN</t>
  </si>
  <si>
    <t>[12] MOROWALI UTARA</t>
  </si>
  <si>
    <t>[010] MORI ATAS</t>
  </si>
  <si>
    <t>[020] LEMBO</t>
  </si>
  <si>
    <t>[030] LEMBO RAYA</t>
  </si>
  <si>
    <t>[040] PETASIA TIMUR</t>
  </si>
  <si>
    <t>[050] PETASIA</t>
  </si>
  <si>
    <t>[060] PETASIA BARAT</t>
  </si>
  <si>
    <t>[070] MORI UTARA</t>
  </si>
  <si>
    <t>[080] SOYO JAYA</t>
  </si>
  <si>
    <t>[090] BUNGKU UTARA</t>
  </si>
  <si>
    <t>[100] MAMOSALATO</t>
  </si>
  <si>
    <t>[71] PALU</t>
  </si>
  <si>
    <t>[010] PALU BARAT</t>
  </si>
  <si>
    <t>[011] TATANGA</t>
  </si>
  <si>
    <t>[012] ULUJADI</t>
  </si>
  <si>
    <t>[020] PALU SELATAN</t>
  </si>
  <si>
    <t>[030] PALU TIMUR</t>
  </si>
  <si>
    <t>[031] MANTIKULORE</t>
  </si>
  <si>
    <t>[040] PALU UTARA</t>
  </si>
  <si>
    <t>[041] TAWAELI</t>
  </si>
  <si>
    <t>Row Labels</t>
  </si>
  <si>
    <t>Sum of Persentase</t>
  </si>
  <si>
    <t>Grand Total</t>
  </si>
  <si>
    <t>Sum of Total Prelist</t>
  </si>
  <si>
    <t>Sum of Total Draft</t>
  </si>
  <si>
    <t>Sum of Total Open</t>
  </si>
  <si>
    <t>Sum of Total Submitted</t>
  </si>
  <si>
    <t>Sum of Total Rejected</t>
  </si>
  <si>
    <t>Sum of Total Approved</t>
  </si>
  <si>
    <t>Sum of Submitted Pencacah</t>
  </si>
  <si>
    <t>Sum of Submitted Respondent</t>
  </si>
  <si>
    <t>tolong di ajdust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</si>
</sst>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43" fontId="0" fillId="0" borderId="0" xfId="1" applyFont="1" applyAlignment="1">
      <alignment horizontal="left"/>
    </xf>
    <xf numFmtId="43" fontId="0" fillId="0" borderId="0" xfId="1" applyFont="1"/>
    <xf numFmtId="0" fontId="0" fillId="0" borderId="0" xfId="0" applyNumberFormat="1"/>
    <xf numFmtId="43" fontId="0" fillId="0" borderId="0" xfId="0" applyNumberFormat="1"/>
    <xf numFmtId="0" fontId="0" fillId="2" borderId="0" xfId="0" applyFill="1"/>
    <xf numFmtId="43" fontId="0" fillId="2" borderId="0" xfId="1" applyFont="1" applyFill="1"/>
    <xf numFmtId="43" fontId="0" fillId="2" borderId="0" xfId="0" applyNumberFormat="1" applyFill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Comma" xfId="1" builtinId="3"/>
    <cellStyle name="Normal" xfId="0" builtinId="0"/>
  </cellStyles>
  <dxfs count="95">
    <dxf>
      <numFmt numFmtId="35" formatCode="_(* #,##0.00_);_(* \(#,##0.00\);_(* &quot;-&quot;??_);_(@_)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30.510285648146" createdVersion="6" refreshedVersion="6" minRefreshableVersion="3" recordCount="187" xr:uid="{7CAD5EC5-124A-4950-B61B-41E6FDA16AE5}">
  <cacheSource type="worksheet">
    <worksheetSource name="rekap_se_umum_2607"/>
  </cacheSource>
  <cacheFields count="15">
    <cacheField name="Kabupaten" numFmtId="0">
      <sharedItems count="13">
        <s v="[01] BANGGAI KEPULAUAN"/>
        <s v="[02] BANGGAI"/>
        <s v="[03] MOROWALI"/>
        <s v="[04] POSO"/>
        <s v="[05] DONGGALA"/>
        <s v="[06] TOLI-TOLI"/>
        <s v="[07] BUOL"/>
        <s v="[08] PARIGI MOUTONG"/>
        <s v="[09] TOJO UNA-UNA"/>
        <s v="[10] SIGI"/>
        <s v="[11] BANGGAI LAUT"/>
        <s v="[12] MOROWALI UTARA"/>
        <s v="[71] PALU"/>
      </sharedItems>
    </cacheField>
    <cacheField name="Kecamatan" numFmtId="0">
      <sharedItems/>
    </cacheField>
    <cacheField name="Total Prelist" numFmtId="0">
      <sharedItems containsSemiMixedTypes="0" containsString="0" containsNumber="1" containsInteger="1" minValue="1" maxValue="46302"/>
    </cacheField>
    <cacheField name="Total Draft" numFmtId="0">
      <sharedItems containsSemiMixedTypes="0" containsString="0" containsNumber="1" containsInteger="1" minValue="0" maxValue="2377"/>
    </cacheField>
    <cacheField name="Total Open" numFmtId="0">
      <sharedItems containsSemiMixedTypes="0" containsString="0" containsNumber="1" containsInteger="1" minValue="0" maxValue="24492"/>
    </cacheField>
    <cacheField name="Total Submitted" numFmtId="0">
      <sharedItems containsSemiMixedTypes="0" containsString="0" containsNumber="1" containsInteger="1" minValue="0" maxValue="19776"/>
    </cacheField>
    <cacheField name="Total Rejected" numFmtId="0">
      <sharedItems containsSemiMixedTypes="0" containsString="0" containsNumber="1" containsInteger="1" minValue="0" maxValue="936"/>
    </cacheField>
    <cacheField name="Total Approved" numFmtId="0">
      <sharedItems containsSemiMixedTypes="0" containsString="0" containsNumber="1" containsInteger="1" minValue="0" maxValue="15786"/>
    </cacheField>
    <cacheField name="Submitted Pencacah" numFmtId="0">
      <sharedItems containsSemiMixedTypes="0" containsString="0" containsNumber="1" containsInteger="1" minValue="0" maxValue="5721"/>
    </cacheField>
    <cacheField name="Submitted Respondent" numFmtId="0">
      <sharedItems containsSemiMixedTypes="0" containsString="0" containsNumber="1" containsInteger="1" minValue="0" maxValue="52"/>
    </cacheField>
    <cacheField name="Persentase" numFmtId="0">
      <sharedItems containsSemiMixedTypes="0" containsString="0" containsNumber="1" minValue="0" maxValue="100"/>
    </cacheField>
    <cacheField name="Today Completed" numFmtId="0">
      <sharedItems containsSemiMixedTypes="0" containsString="0" containsNumber="1" containsInteger="1" minValue="0" maxValue="0"/>
    </cacheField>
    <cacheField name="Yesterday Completed" numFmtId="0">
      <sharedItems containsSemiMixedTypes="0" containsString="0" containsNumber="1" containsInteger="1" minValue="0" maxValue="0"/>
    </cacheField>
    <cacheField name="New Usaha" numFmtId="0">
      <sharedItems containsSemiMixedTypes="0" containsString="0" containsNumber="1" containsInteger="1" minValue="0" maxValue="2260"/>
    </cacheField>
    <cacheField name="New Rumah" numFmtId="0">
      <sharedItems containsSemiMixedTypes="0" containsString="0" containsNumber="1" containsInteger="1" minValue="0" maxValue="18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7">
  <r>
    <x v="0"/>
    <s v="[000] -"/>
    <n v="270"/>
    <n v="122"/>
    <n v="96"/>
    <n v="52"/>
    <n v="0"/>
    <n v="0"/>
    <n v="0"/>
    <n v="52"/>
    <n v="19.260000000000002"/>
    <n v="0"/>
    <n v="0"/>
    <n v="129"/>
    <n v="0"/>
  </r>
  <r>
    <x v="0"/>
    <s v="[030] TOTIKUM"/>
    <n v="4735"/>
    <n v="256"/>
    <n v="1753"/>
    <n v="2726"/>
    <n v="79"/>
    <n v="1851"/>
    <n v="792"/>
    <n v="4"/>
    <n v="57.57"/>
    <n v="0"/>
    <n v="0"/>
    <n v="341"/>
    <n v="157"/>
  </r>
  <r>
    <x v="0"/>
    <s v="[031] TOTIKUM SELATAN"/>
    <n v="3537"/>
    <n v="291"/>
    <n v="1282"/>
    <n v="1964"/>
    <n v="267"/>
    <n v="1149"/>
    <n v="547"/>
    <n v="1"/>
    <n v="55.53"/>
    <n v="0"/>
    <n v="0"/>
    <n v="200"/>
    <n v="113"/>
  </r>
  <r>
    <x v="0"/>
    <s v="[040] TINANGKUNG"/>
    <n v="8575"/>
    <n v="394"/>
    <n v="2925"/>
    <n v="5256"/>
    <n v="111"/>
    <n v="3153"/>
    <n v="1968"/>
    <n v="24"/>
    <n v="61.29"/>
    <n v="0"/>
    <n v="0"/>
    <n v="1027"/>
    <n v="474"/>
  </r>
  <r>
    <x v="0"/>
    <s v="[041] TINANGKUNG SELATAN"/>
    <n v="3139"/>
    <n v="286"/>
    <n v="1070"/>
    <n v="1783"/>
    <n v="195"/>
    <n v="767"/>
    <n v="820"/>
    <n v="1"/>
    <n v="56.8"/>
    <n v="0"/>
    <n v="0"/>
    <n v="249"/>
    <n v="119"/>
  </r>
  <r>
    <x v="0"/>
    <s v="[042] TINANGKUNG UTARA"/>
    <n v="3602"/>
    <n v="117"/>
    <n v="1160"/>
    <n v="2325"/>
    <n v="82"/>
    <n v="1325"/>
    <n v="918"/>
    <n v="0"/>
    <n v="64.55"/>
    <n v="0"/>
    <n v="0"/>
    <n v="221"/>
    <n v="101"/>
  </r>
  <r>
    <x v="0"/>
    <s v="[050] LIANG"/>
    <n v="4173"/>
    <n v="32"/>
    <n v="1517"/>
    <n v="2624"/>
    <n v="232"/>
    <n v="1597"/>
    <n v="794"/>
    <n v="1"/>
    <n v="62.88"/>
    <n v="0"/>
    <n v="0"/>
    <n v="318"/>
    <n v="225"/>
  </r>
  <r>
    <x v="0"/>
    <s v="[051] PELING TENGAH"/>
    <n v="4006"/>
    <n v="40"/>
    <n v="1076"/>
    <n v="2890"/>
    <n v="94"/>
    <n v="1954"/>
    <n v="840"/>
    <n v="2"/>
    <n v="72.14"/>
    <n v="0"/>
    <n v="0"/>
    <n v="237"/>
    <n v="229"/>
  </r>
  <r>
    <x v="0"/>
    <s v="[060] BULAGI"/>
    <n v="4240"/>
    <n v="186"/>
    <n v="1045"/>
    <n v="3009"/>
    <n v="42"/>
    <n v="1795"/>
    <n v="1171"/>
    <n v="1"/>
    <n v="70.97"/>
    <n v="0"/>
    <n v="0"/>
    <n v="288"/>
    <n v="314"/>
  </r>
  <r>
    <x v="0"/>
    <s v="[061] BULAGI SELATAN"/>
    <n v="4151"/>
    <n v="168"/>
    <n v="1780"/>
    <n v="2203"/>
    <n v="46"/>
    <n v="1697"/>
    <n v="459"/>
    <n v="1"/>
    <n v="53.07"/>
    <n v="0"/>
    <n v="0"/>
    <n v="312"/>
    <n v="117"/>
  </r>
  <r>
    <x v="0"/>
    <s v="[062] BULAGI UTARA"/>
    <n v="3645"/>
    <n v="124"/>
    <n v="1342"/>
    <n v="2179"/>
    <n v="38"/>
    <n v="1835"/>
    <n v="304"/>
    <n v="2"/>
    <n v="59.78"/>
    <n v="0"/>
    <n v="0"/>
    <n v="217"/>
    <n v="105"/>
  </r>
  <r>
    <x v="0"/>
    <s v="[070] BUKO"/>
    <n v="4189"/>
    <n v="218"/>
    <n v="1484"/>
    <n v="2487"/>
    <n v="120"/>
    <n v="1184"/>
    <n v="1182"/>
    <n v="1"/>
    <n v="59.37"/>
    <n v="0"/>
    <n v="0"/>
    <n v="295"/>
    <n v="158"/>
  </r>
  <r>
    <x v="0"/>
    <s v="[071] BUKO SELATAN"/>
    <n v="3460"/>
    <n v="141"/>
    <n v="1361"/>
    <n v="1958"/>
    <n v="52"/>
    <n v="1594"/>
    <n v="312"/>
    <n v="0"/>
    <n v="56.59"/>
    <n v="0"/>
    <n v="0"/>
    <n v="254"/>
    <n v="147"/>
  </r>
  <r>
    <x v="1"/>
    <s v="[000] -"/>
    <n v="1"/>
    <n v="0"/>
    <n v="1"/>
    <n v="0"/>
    <n v="0"/>
    <n v="0"/>
    <n v="0"/>
    <n v="0"/>
    <n v="0"/>
    <n v="0"/>
    <n v="0"/>
    <n v="0"/>
    <n v="0"/>
  </r>
  <r>
    <x v="1"/>
    <s v="[010] TOILI"/>
    <n v="9091"/>
    <n v="228"/>
    <n v="3838"/>
    <n v="5025"/>
    <n v="229"/>
    <n v="3661"/>
    <n v="1134"/>
    <n v="1"/>
    <n v="55.27"/>
    <n v="0"/>
    <n v="0"/>
    <n v="261"/>
    <n v="221"/>
  </r>
  <r>
    <x v="1"/>
    <s v="[011] TOILI BARAT"/>
    <n v="9902"/>
    <n v="468"/>
    <n v="3389"/>
    <n v="6045"/>
    <n v="89"/>
    <n v="4270"/>
    <n v="1686"/>
    <n v="0"/>
    <n v="61.05"/>
    <n v="0"/>
    <n v="0"/>
    <n v="564"/>
    <n v="208"/>
  </r>
  <r>
    <x v="1"/>
    <s v="[012] MOILONG"/>
    <n v="8224"/>
    <n v="394"/>
    <n v="3311"/>
    <n v="4519"/>
    <n v="74"/>
    <n v="2927"/>
    <n v="1518"/>
    <n v="0"/>
    <n v="54.95"/>
    <n v="0"/>
    <n v="0"/>
    <n v="261"/>
    <n v="196"/>
  </r>
  <r>
    <x v="1"/>
    <s v="[013] TOILI JAYA"/>
    <n v="6480"/>
    <n v="140"/>
    <n v="2567"/>
    <n v="3773"/>
    <n v="92"/>
    <n v="2798"/>
    <n v="883"/>
    <n v="0"/>
    <n v="58.23"/>
    <n v="0"/>
    <n v="0"/>
    <n v="369"/>
    <n v="132"/>
  </r>
  <r>
    <x v="1"/>
    <s v="[020] BATUI"/>
    <n v="7099"/>
    <n v="418"/>
    <n v="3101"/>
    <n v="3580"/>
    <n v="46"/>
    <n v="2915"/>
    <n v="619"/>
    <n v="0"/>
    <n v="50.43"/>
    <n v="0"/>
    <n v="0"/>
    <n v="319"/>
    <n v="120"/>
  </r>
  <r>
    <x v="1"/>
    <s v="[021] BATUI SELATAN"/>
    <n v="5887"/>
    <n v="72"/>
    <n v="2340"/>
    <n v="3475"/>
    <n v="266"/>
    <n v="1454"/>
    <n v="1755"/>
    <n v="0"/>
    <n v="59.03"/>
    <n v="0"/>
    <n v="0"/>
    <n v="220"/>
    <n v="127"/>
  </r>
  <r>
    <x v="1"/>
    <s v="[030] BUNTA"/>
    <n v="8285"/>
    <n v="567"/>
    <n v="3424"/>
    <n v="4294"/>
    <n v="556"/>
    <n v="988"/>
    <n v="2750"/>
    <n v="0"/>
    <n v="51.83"/>
    <n v="0"/>
    <n v="0"/>
    <n v="406"/>
    <n v="172"/>
  </r>
  <r>
    <x v="1"/>
    <s v="[031] NUHON"/>
    <n v="7564"/>
    <n v="212"/>
    <n v="2824"/>
    <n v="4528"/>
    <n v="183"/>
    <n v="653"/>
    <n v="3692"/>
    <n v="0"/>
    <n v="59.86"/>
    <n v="0"/>
    <n v="0"/>
    <n v="166"/>
    <n v="313"/>
  </r>
  <r>
    <x v="1"/>
    <s v="[032] SIMPANG RAYA"/>
    <n v="6571"/>
    <n v="219"/>
    <n v="1782"/>
    <n v="4570"/>
    <n v="27"/>
    <n v="1737"/>
    <n v="2806"/>
    <n v="0"/>
    <n v="69.55"/>
    <n v="0"/>
    <n v="0"/>
    <n v="322"/>
    <n v="164"/>
  </r>
  <r>
    <x v="1"/>
    <s v="[040] KINTOM"/>
    <n v="4811"/>
    <n v="189"/>
    <n v="1385"/>
    <n v="3237"/>
    <n v="119"/>
    <n v="1632"/>
    <n v="1486"/>
    <n v="0"/>
    <n v="67.28"/>
    <n v="0"/>
    <n v="0"/>
    <n v="215"/>
    <n v="178"/>
  </r>
  <r>
    <x v="1"/>
    <s v="[050] LUWUK"/>
    <n v="18871"/>
    <n v="812"/>
    <n v="8323"/>
    <n v="9736"/>
    <n v="687"/>
    <n v="3326"/>
    <n v="5721"/>
    <n v="2"/>
    <n v="51.59"/>
    <n v="0"/>
    <n v="0"/>
    <n v="863"/>
    <n v="819"/>
  </r>
  <r>
    <x v="1"/>
    <s v="[051] LUWUK TIMUR"/>
    <n v="5292"/>
    <n v="87"/>
    <n v="2484"/>
    <n v="2721"/>
    <n v="358"/>
    <n v="1770"/>
    <n v="593"/>
    <n v="0"/>
    <n v="51.42"/>
    <n v="0"/>
    <n v="0"/>
    <n v="260"/>
    <n v="155"/>
  </r>
  <r>
    <x v="1"/>
    <s v="[052] LUWUK UTARA"/>
    <n v="9842"/>
    <n v="275"/>
    <n v="4113"/>
    <n v="5454"/>
    <n v="453"/>
    <n v="2614"/>
    <n v="2387"/>
    <n v="0"/>
    <n v="55.42"/>
    <n v="0"/>
    <n v="0"/>
    <n v="543"/>
    <n v="292"/>
  </r>
  <r>
    <x v="1"/>
    <s v="[053] LUWUK SELATAN"/>
    <n v="14205"/>
    <n v="767"/>
    <n v="6681"/>
    <n v="6757"/>
    <n v="135"/>
    <n v="3043"/>
    <n v="3578"/>
    <n v="1"/>
    <n v="47.57"/>
    <n v="0"/>
    <n v="0"/>
    <n v="667"/>
    <n v="656"/>
  </r>
  <r>
    <x v="1"/>
    <s v="[054] NAMBO"/>
    <n v="4747"/>
    <n v="38"/>
    <n v="1500"/>
    <n v="3209"/>
    <n v="247"/>
    <n v="1108"/>
    <n v="1854"/>
    <n v="0"/>
    <n v="67.599999999999994"/>
    <n v="0"/>
    <n v="0"/>
    <n v="188"/>
    <n v="66"/>
  </r>
  <r>
    <x v="1"/>
    <s v="[060] PAGIMANA"/>
    <n v="9632"/>
    <n v="252"/>
    <n v="4319"/>
    <n v="5061"/>
    <n v="235"/>
    <n v="1590"/>
    <n v="3236"/>
    <n v="0"/>
    <n v="52.54"/>
    <n v="0"/>
    <n v="0"/>
    <n v="363"/>
    <n v="143"/>
  </r>
  <r>
    <x v="1"/>
    <s v="[061] BUALEMO"/>
    <n v="7314"/>
    <n v="229"/>
    <n v="2401"/>
    <n v="4684"/>
    <n v="432"/>
    <n v="4086"/>
    <n v="166"/>
    <n v="0"/>
    <n v="64.040000000000006"/>
    <n v="0"/>
    <n v="0"/>
    <n v="428"/>
    <n v="282"/>
  </r>
  <r>
    <x v="1"/>
    <s v="[062] LOBU"/>
    <n v="1619"/>
    <n v="0"/>
    <n v="724"/>
    <n v="895"/>
    <n v="27"/>
    <n v="205"/>
    <n v="663"/>
    <n v="0"/>
    <n v="55.28"/>
    <n v="0"/>
    <n v="0"/>
    <n v="45"/>
    <n v="15"/>
  </r>
  <r>
    <x v="1"/>
    <s v="[070] LAMALA"/>
    <n v="2620"/>
    <n v="35"/>
    <n v="1149"/>
    <n v="1436"/>
    <n v="28"/>
    <n v="918"/>
    <n v="490"/>
    <n v="0"/>
    <n v="54.81"/>
    <n v="0"/>
    <n v="0"/>
    <n v="133"/>
    <n v="67"/>
  </r>
  <r>
    <x v="1"/>
    <s v="[071] MASAMA"/>
    <n v="5333"/>
    <n v="281"/>
    <n v="2229"/>
    <n v="2823"/>
    <n v="423"/>
    <n v="1222"/>
    <n v="1178"/>
    <n v="0"/>
    <n v="52.93"/>
    <n v="0"/>
    <n v="0"/>
    <n v="210"/>
    <n v="117"/>
  </r>
  <r>
    <x v="1"/>
    <s v="[072] MANTOH"/>
    <n v="2927"/>
    <n v="35"/>
    <n v="773"/>
    <n v="2119"/>
    <n v="319"/>
    <n v="443"/>
    <n v="1357"/>
    <n v="0"/>
    <n v="72.39"/>
    <n v="0"/>
    <n v="0"/>
    <n v="233"/>
    <n v="88"/>
  </r>
  <r>
    <x v="1"/>
    <s v="[080] BALANTAK"/>
    <n v="3019"/>
    <n v="1"/>
    <n v="565"/>
    <n v="2453"/>
    <n v="298"/>
    <n v="919"/>
    <n v="1236"/>
    <n v="0"/>
    <n v="81.25"/>
    <n v="0"/>
    <n v="0"/>
    <n v="215"/>
    <n v="92"/>
  </r>
  <r>
    <x v="1"/>
    <s v="[081] BALANTAK SELATAN"/>
    <n v="2264"/>
    <n v="103"/>
    <n v="922"/>
    <n v="1239"/>
    <n v="287"/>
    <n v="389"/>
    <n v="563"/>
    <n v="0"/>
    <n v="54.73"/>
    <n v="0"/>
    <n v="0"/>
    <n v="95"/>
    <n v="84"/>
  </r>
  <r>
    <x v="1"/>
    <s v="[082] BALANTAK UTARA"/>
    <n v="2052"/>
    <n v="0"/>
    <n v="591"/>
    <n v="1461"/>
    <n v="166"/>
    <n v="464"/>
    <n v="831"/>
    <n v="0"/>
    <n v="71.2"/>
    <n v="0"/>
    <n v="0"/>
    <n v="146"/>
    <n v="103"/>
  </r>
  <r>
    <x v="2"/>
    <s v="[010] MENUI KEPULAUAN"/>
    <n v="2441"/>
    <n v="182"/>
    <n v="531"/>
    <n v="1728"/>
    <n v="44"/>
    <n v="1665"/>
    <n v="19"/>
    <n v="0"/>
    <n v="70.790000000000006"/>
    <n v="0"/>
    <n v="0"/>
    <n v="35"/>
    <n v="20"/>
  </r>
  <r>
    <x v="2"/>
    <s v="[011] SOMBORI KEPULAUAN"/>
    <n v="1266"/>
    <n v="290"/>
    <n v="738"/>
    <n v="238"/>
    <n v="0"/>
    <n v="0"/>
    <n v="238"/>
    <n v="0"/>
    <n v="18.8"/>
    <n v="0"/>
    <n v="0"/>
    <n v="87"/>
    <n v="4"/>
  </r>
  <r>
    <x v="2"/>
    <s v="[020] BUNGKU SELATAN"/>
    <n v="4163"/>
    <n v="191"/>
    <n v="1466"/>
    <n v="2506"/>
    <n v="17"/>
    <n v="2340"/>
    <n v="149"/>
    <n v="0"/>
    <n v="60.2"/>
    <n v="0"/>
    <n v="0"/>
    <n v="274"/>
    <n v="137"/>
  </r>
  <r>
    <x v="2"/>
    <s v="[021] BAHODOPI"/>
    <n v="17846"/>
    <n v="623"/>
    <n v="7512"/>
    <n v="9711"/>
    <n v="113"/>
    <n v="6430"/>
    <n v="3168"/>
    <n v="0"/>
    <n v="54.42"/>
    <n v="0"/>
    <n v="0"/>
    <n v="1716"/>
    <n v="1724"/>
  </r>
  <r>
    <x v="2"/>
    <s v="[022] BUNGKU PESISIR"/>
    <n v="2329"/>
    <n v="106"/>
    <n v="1455"/>
    <n v="768"/>
    <n v="7"/>
    <n v="243"/>
    <n v="518"/>
    <n v="0"/>
    <n v="32.979999999999997"/>
    <n v="0"/>
    <n v="0"/>
    <n v="81"/>
    <n v="106"/>
  </r>
  <r>
    <x v="2"/>
    <s v="[030] BUNGKU TENGAH"/>
    <n v="12687"/>
    <n v="530"/>
    <n v="6518"/>
    <n v="5639"/>
    <n v="112"/>
    <n v="2220"/>
    <n v="3307"/>
    <n v="0"/>
    <n v="44.45"/>
    <n v="0"/>
    <n v="0"/>
    <n v="853"/>
    <n v="787"/>
  </r>
  <r>
    <x v="2"/>
    <s v="[031] BUNGKU TIMUR"/>
    <n v="5089"/>
    <n v="133"/>
    <n v="2238"/>
    <n v="2718"/>
    <n v="59"/>
    <n v="1197"/>
    <n v="1462"/>
    <n v="0"/>
    <n v="53.41"/>
    <n v="0"/>
    <n v="0"/>
    <n v="395"/>
    <n v="85"/>
  </r>
  <r>
    <x v="2"/>
    <s v="[040] BUNGKU BARAT"/>
    <n v="6260"/>
    <n v="259"/>
    <n v="2712"/>
    <n v="3289"/>
    <n v="15"/>
    <n v="2454"/>
    <n v="820"/>
    <n v="0"/>
    <n v="52.54"/>
    <n v="0"/>
    <n v="0"/>
    <n v="514"/>
    <n v="293"/>
  </r>
  <r>
    <x v="2"/>
    <s v="[041] BUMI RAYA"/>
    <n v="5601"/>
    <n v="294"/>
    <n v="2671"/>
    <n v="2636"/>
    <n v="165"/>
    <n v="1990"/>
    <n v="481"/>
    <n v="0"/>
    <n v="47.06"/>
    <n v="0"/>
    <n v="0"/>
    <n v="428"/>
    <n v="381"/>
  </r>
  <r>
    <x v="2"/>
    <s v="[042] WITA PONDA"/>
    <n v="7146"/>
    <n v="278"/>
    <n v="3521"/>
    <n v="3347"/>
    <n v="72"/>
    <n v="2419"/>
    <n v="856"/>
    <n v="0"/>
    <n v="46.84"/>
    <n v="0"/>
    <n v="0"/>
    <n v="285"/>
    <n v="182"/>
  </r>
  <r>
    <x v="3"/>
    <s v="[000] -"/>
    <n v="167"/>
    <n v="69"/>
    <n v="59"/>
    <n v="39"/>
    <n v="0"/>
    <n v="0"/>
    <n v="0"/>
    <n v="39"/>
    <n v="23.35"/>
    <n v="0"/>
    <n v="0"/>
    <n v="101"/>
    <n v="0"/>
  </r>
  <r>
    <x v="3"/>
    <s v="[010] PAMONA SELATAN"/>
    <n v="9972"/>
    <n v="1076"/>
    <n v="3236"/>
    <n v="5660"/>
    <n v="631"/>
    <n v="4590"/>
    <n v="438"/>
    <n v="1"/>
    <n v="56.76"/>
    <n v="0"/>
    <n v="0"/>
    <n v="340"/>
    <n v="214"/>
  </r>
  <r>
    <x v="3"/>
    <s v="[011] PAMONA BARAT"/>
    <n v="4297"/>
    <n v="147"/>
    <n v="1497"/>
    <n v="2653"/>
    <n v="130"/>
    <n v="2068"/>
    <n v="454"/>
    <n v="1"/>
    <n v="61.74"/>
    <n v="0"/>
    <n v="0"/>
    <n v="134"/>
    <n v="156"/>
  </r>
  <r>
    <x v="3"/>
    <s v="[012] PAMONA TENGGARA"/>
    <n v="3439"/>
    <n v="121"/>
    <n v="1349"/>
    <n v="1969"/>
    <n v="137"/>
    <n v="1795"/>
    <n v="36"/>
    <n v="1"/>
    <n v="57.26"/>
    <n v="0"/>
    <n v="0"/>
    <n v="111"/>
    <n v="58"/>
  </r>
  <r>
    <x v="3"/>
    <s v="[020] LORE SELATAN"/>
    <n v="2705"/>
    <n v="0"/>
    <n v="931"/>
    <n v="1774"/>
    <n v="97"/>
    <n v="1544"/>
    <n v="132"/>
    <n v="1"/>
    <n v="65.58"/>
    <n v="0"/>
    <n v="0"/>
    <n v="30"/>
    <n v="14"/>
  </r>
  <r>
    <x v="3"/>
    <s v="[021] LORE BARAT"/>
    <n v="1288"/>
    <n v="0"/>
    <n v="409"/>
    <n v="879"/>
    <n v="17"/>
    <n v="804"/>
    <n v="58"/>
    <n v="0"/>
    <n v="68.25"/>
    <n v="0"/>
    <n v="0"/>
    <n v="32"/>
    <n v="22"/>
  </r>
  <r>
    <x v="3"/>
    <s v="[030] PAMONA PUSALEMBA"/>
    <n v="10704"/>
    <n v="397"/>
    <n v="4245"/>
    <n v="6062"/>
    <n v="333"/>
    <n v="4439"/>
    <n v="1290"/>
    <n v="0"/>
    <n v="56.63"/>
    <n v="0"/>
    <n v="0"/>
    <n v="414"/>
    <n v="309"/>
  </r>
  <r>
    <x v="3"/>
    <s v="[031] PAMONA TIMUR"/>
    <n v="5606"/>
    <n v="187"/>
    <n v="2026"/>
    <n v="3393"/>
    <n v="205"/>
    <n v="1834"/>
    <n v="1354"/>
    <n v="0"/>
    <n v="60.52"/>
    <n v="0"/>
    <n v="0"/>
    <n v="217"/>
    <n v="171"/>
  </r>
  <r>
    <x v="3"/>
    <s v="[032] PAMONA UTARA"/>
    <n v="6771"/>
    <n v="13"/>
    <n v="2710"/>
    <n v="4048"/>
    <n v="87"/>
    <n v="3355"/>
    <n v="605"/>
    <n v="1"/>
    <n v="59.78"/>
    <n v="0"/>
    <n v="0"/>
    <n v="273"/>
    <n v="176"/>
  </r>
  <r>
    <x v="3"/>
    <s v="[040] LORE UTARA"/>
    <n v="6422"/>
    <n v="94"/>
    <n v="2671"/>
    <n v="3657"/>
    <n v="131"/>
    <n v="2529"/>
    <n v="997"/>
    <n v="0"/>
    <n v="56.94"/>
    <n v="0"/>
    <n v="0"/>
    <n v="296"/>
    <n v="405"/>
  </r>
  <r>
    <x v="3"/>
    <s v="[041] LORE TENGAH"/>
    <n v="2129"/>
    <n v="48"/>
    <n v="994"/>
    <n v="1087"/>
    <n v="17"/>
    <n v="823"/>
    <n v="246"/>
    <n v="1"/>
    <n v="51.06"/>
    <n v="0"/>
    <n v="0"/>
    <n v="65"/>
    <n v="23"/>
  </r>
  <r>
    <x v="3"/>
    <s v="[042] LORE TIMUR"/>
    <n v="2682"/>
    <n v="27"/>
    <n v="1347"/>
    <n v="1308"/>
    <n v="53"/>
    <n v="1211"/>
    <n v="44"/>
    <n v="0"/>
    <n v="48.77"/>
    <n v="0"/>
    <n v="0"/>
    <n v="110"/>
    <n v="58"/>
  </r>
  <r>
    <x v="3"/>
    <s v="[043] LORE PEORE"/>
    <n v="1727"/>
    <n v="0"/>
    <n v="676"/>
    <n v="1051"/>
    <n v="25"/>
    <n v="708"/>
    <n v="318"/>
    <n v="0"/>
    <n v="60.86"/>
    <n v="0"/>
    <n v="0"/>
    <n v="35"/>
    <n v="52"/>
  </r>
  <r>
    <x v="3"/>
    <s v="[050] POSO PESISIR"/>
    <n v="11462"/>
    <n v="1158"/>
    <n v="4557"/>
    <n v="5747"/>
    <n v="680"/>
    <n v="3495"/>
    <n v="1572"/>
    <n v="0"/>
    <n v="50.14"/>
    <n v="0"/>
    <n v="0"/>
    <n v="358"/>
    <n v="335"/>
  </r>
  <r>
    <x v="3"/>
    <s v="[051] POSO PESISIR SELATAN"/>
    <n v="4479"/>
    <n v="14"/>
    <n v="2235"/>
    <n v="2230"/>
    <n v="38"/>
    <n v="2127"/>
    <n v="65"/>
    <n v="0"/>
    <n v="49.79"/>
    <n v="0"/>
    <n v="0"/>
    <n v="134"/>
    <n v="122"/>
  </r>
  <r>
    <x v="3"/>
    <s v="[052] POSO PESISIR UTARA"/>
    <n v="7252"/>
    <n v="331"/>
    <n v="2517"/>
    <n v="4404"/>
    <n v="94"/>
    <n v="3173"/>
    <n v="1137"/>
    <n v="0"/>
    <n v="60.73"/>
    <n v="0"/>
    <n v="0"/>
    <n v="254"/>
    <n v="142"/>
  </r>
  <r>
    <x v="3"/>
    <s v="[060] LAGE"/>
    <n v="9482"/>
    <n v="204"/>
    <n v="3862"/>
    <n v="5416"/>
    <n v="936"/>
    <n v="3214"/>
    <n v="1265"/>
    <n v="1"/>
    <n v="57.12"/>
    <n v="0"/>
    <n v="0"/>
    <n v="259"/>
    <n v="281"/>
  </r>
  <r>
    <x v="3"/>
    <s v="[070] POSO KOTA"/>
    <n v="12245"/>
    <n v="323"/>
    <n v="5524"/>
    <n v="6398"/>
    <n v="470"/>
    <n v="4634"/>
    <n v="1294"/>
    <n v="0"/>
    <n v="52.25"/>
    <n v="0"/>
    <n v="0"/>
    <n v="400"/>
    <n v="270"/>
  </r>
  <r>
    <x v="3"/>
    <s v="[071] POSO KOTA UTARA"/>
    <n v="8035"/>
    <n v="133"/>
    <n v="3735"/>
    <n v="4167"/>
    <n v="450"/>
    <n v="2821"/>
    <n v="894"/>
    <n v="2"/>
    <n v="51.86"/>
    <n v="0"/>
    <n v="0"/>
    <n v="312"/>
    <n v="218"/>
  </r>
  <r>
    <x v="3"/>
    <s v="[072] POSO KOTA SELATAN"/>
    <n v="6697"/>
    <n v="182"/>
    <n v="2765"/>
    <n v="3750"/>
    <n v="138"/>
    <n v="2251"/>
    <n v="1361"/>
    <n v="0"/>
    <n v="56"/>
    <n v="0"/>
    <n v="0"/>
    <n v="207"/>
    <n v="306"/>
  </r>
  <r>
    <x v="4"/>
    <s v="[041] RIO PAKAVA"/>
    <n v="9026"/>
    <n v="445"/>
    <n v="3195"/>
    <n v="5386"/>
    <n v="84"/>
    <n v="5090"/>
    <n v="212"/>
    <n v="0"/>
    <n v="59.67"/>
    <n v="0"/>
    <n v="0"/>
    <n v="529"/>
    <n v="406"/>
  </r>
  <r>
    <x v="4"/>
    <s v="[051] PINEMBANI"/>
    <n v="1477"/>
    <n v="34"/>
    <n v="742"/>
    <n v="701"/>
    <n v="21"/>
    <n v="663"/>
    <n v="17"/>
    <n v="0"/>
    <n v="47.46"/>
    <n v="0"/>
    <n v="0"/>
    <n v="112"/>
    <n v="32"/>
  </r>
  <r>
    <x v="4"/>
    <s v="[080] BANAWA"/>
    <n v="17446"/>
    <n v="399"/>
    <n v="6771"/>
    <n v="10276"/>
    <n v="63"/>
    <n v="9616"/>
    <n v="592"/>
    <n v="5"/>
    <n v="58.9"/>
    <n v="0"/>
    <n v="0"/>
    <n v="746"/>
    <n v="605"/>
  </r>
  <r>
    <x v="4"/>
    <s v="[081] BANAWA SELATAN"/>
    <n v="11025"/>
    <n v="188"/>
    <n v="3253"/>
    <n v="7584"/>
    <n v="146"/>
    <n v="6777"/>
    <n v="661"/>
    <n v="0"/>
    <n v="68.790000000000006"/>
    <n v="0"/>
    <n v="0"/>
    <n v="643"/>
    <n v="430"/>
  </r>
  <r>
    <x v="4"/>
    <s v="[082] BANAWA TENGAH"/>
    <n v="4676"/>
    <n v="301"/>
    <n v="1929"/>
    <n v="2446"/>
    <n v="19"/>
    <n v="2318"/>
    <n v="109"/>
    <n v="0"/>
    <n v="52.31"/>
    <n v="0"/>
    <n v="0"/>
    <n v="265"/>
    <n v="97"/>
  </r>
  <r>
    <x v="4"/>
    <s v="[090] LABUAN"/>
    <n v="6635"/>
    <n v="11"/>
    <n v="3139"/>
    <n v="3485"/>
    <n v="85"/>
    <n v="2481"/>
    <n v="919"/>
    <n v="0"/>
    <n v="52.52"/>
    <n v="0"/>
    <n v="0"/>
    <n v="251"/>
    <n v="338"/>
  </r>
  <r>
    <x v="4"/>
    <s v="[091] TANANTOVEA"/>
    <n v="6817"/>
    <n v="163"/>
    <n v="2725"/>
    <n v="3929"/>
    <n v="81"/>
    <n v="3580"/>
    <n v="268"/>
    <n v="0"/>
    <n v="57.64"/>
    <n v="0"/>
    <n v="0"/>
    <n v="337"/>
    <n v="244"/>
  </r>
  <r>
    <x v="4"/>
    <s v="[100] SINDUE"/>
    <n v="9798"/>
    <n v="121"/>
    <n v="3537"/>
    <n v="6140"/>
    <n v="105"/>
    <n v="4593"/>
    <n v="1442"/>
    <n v="0"/>
    <n v="62.67"/>
    <n v="0"/>
    <n v="0"/>
    <n v="453"/>
    <n v="291"/>
  </r>
  <r>
    <x v="4"/>
    <s v="[101] SINDUE TOMBUSABORA"/>
    <n v="5342"/>
    <n v="53"/>
    <n v="1754"/>
    <n v="3535"/>
    <n v="21"/>
    <n v="3366"/>
    <n v="148"/>
    <n v="0"/>
    <n v="66.17"/>
    <n v="0"/>
    <n v="0"/>
    <n v="305"/>
    <n v="276"/>
  </r>
  <r>
    <x v="4"/>
    <s v="[102] SINDUE TOBATA"/>
    <n v="4194"/>
    <n v="68"/>
    <n v="1153"/>
    <n v="2973"/>
    <n v="3"/>
    <n v="2804"/>
    <n v="166"/>
    <n v="0"/>
    <n v="70.89"/>
    <n v="0"/>
    <n v="0"/>
    <n v="241"/>
    <n v="197"/>
  </r>
  <r>
    <x v="4"/>
    <s v="[120] SIRENJA"/>
    <n v="8457"/>
    <n v="93"/>
    <n v="2690"/>
    <n v="5674"/>
    <n v="100"/>
    <n v="4268"/>
    <n v="1306"/>
    <n v="0"/>
    <n v="67.09"/>
    <n v="0"/>
    <n v="0"/>
    <n v="378"/>
    <n v="463"/>
  </r>
  <r>
    <x v="4"/>
    <s v="[130] BALAESANG"/>
    <n v="9602"/>
    <n v="259"/>
    <n v="3449"/>
    <n v="5894"/>
    <n v="72"/>
    <n v="5417"/>
    <n v="405"/>
    <n v="0"/>
    <n v="61.38"/>
    <n v="0"/>
    <n v="0"/>
    <n v="470"/>
    <n v="376"/>
  </r>
  <r>
    <x v="4"/>
    <s v="[131] BALAESANG TANJUNG"/>
    <n v="4572"/>
    <n v="54"/>
    <n v="1680"/>
    <n v="2838"/>
    <n v="34"/>
    <n v="2748"/>
    <n v="56"/>
    <n v="0"/>
    <n v="62.07"/>
    <n v="0"/>
    <n v="0"/>
    <n v="208"/>
    <n v="221"/>
  </r>
  <r>
    <x v="4"/>
    <s v="[140] DAMPELAS"/>
    <n v="12698"/>
    <n v="217"/>
    <n v="5249"/>
    <n v="7232"/>
    <n v="108"/>
    <n v="6245"/>
    <n v="879"/>
    <n v="0"/>
    <n v="56.95"/>
    <n v="0"/>
    <n v="0"/>
    <n v="786"/>
    <n v="390"/>
  </r>
  <r>
    <x v="4"/>
    <s v="[160] SOJOL"/>
    <n v="10287"/>
    <n v="373"/>
    <n v="4504"/>
    <n v="5410"/>
    <n v="448"/>
    <n v="2098"/>
    <n v="2864"/>
    <n v="0"/>
    <n v="52.59"/>
    <n v="0"/>
    <n v="0"/>
    <n v="455"/>
    <n v="264"/>
  </r>
  <r>
    <x v="4"/>
    <s v="[161] SOJOL UTARA"/>
    <n v="4082"/>
    <n v="43"/>
    <n v="1258"/>
    <n v="2781"/>
    <n v="6"/>
    <n v="2439"/>
    <n v="336"/>
    <n v="0"/>
    <n v="68.13"/>
    <n v="0"/>
    <n v="0"/>
    <n v="129"/>
    <n v="114"/>
  </r>
  <r>
    <x v="5"/>
    <s v="[010] DAMPAL SELATAN"/>
    <n v="9142"/>
    <n v="56"/>
    <n v="3703"/>
    <n v="5383"/>
    <n v="113"/>
    <n v="3958"/>
    <n v="1312"/>
    <n v="0"/>
    <n v="58.88"/>
    <n v="0"/>
    <n v="0"/>
    <n v="634"/>
    <n v="439"/>
  </r>
  <r>
    <x v="5"/>
    <s v="[020] DAMPAL UTARA"/>
    <n v="5768"/>
    <n v="220"/>
    <n v="2318"/>
    <n v="3230"/>
    <n v="22"/>
    <n v="2720"/>
    <n v="488"/>
    <n v="0"/>
    <n v="56"/>
    <n v="0"/>
    <n v="0"/>
    <n v="341"/>
    <n v="363"/>
  </r>
  <r>
    <x v="5"/>
    <s v="[030] DONDO"/>
    <n v="9521"/>
    <n v="282"/>
    <n v="2954"/>
    <n v="6285"/>
    <n v="23"/>
    <n v="5560"/>
    <n v="702"/>
    <n v="0"/>
    <n v="66.010000000000005"/>
    <n v="0"/>
    <n v="0"/>
    <n v="590"/>
    <n v="487"/>
  </r>
  <r>
    <x v="5"/>
    <s v="[031] OGODEIDE"/>
    <n v="5255"/>
    <n v="67"/>
    <n v="2007"/>
    <n v="3181"/>
    <n v="8"/>
    <n v="3053"/>
    <n v="120"/>
    <n v="0"/>
    <n v="60.53"/>
    <n v="0"/>
    <n v="0"/>
    <n v="399"/>
    <n v="419"/>
  </r>
  <r>
    <x v="5"/>
    <s v="[032] BASIDONDO"/>
    <n v="4364"/>
    <n v="300"/>
    <n v="1414"/>
    <n v="2650"/>
    <n v="8"/>
    <n v="2459"/>
    <n v="183"/>
    <n v="0"/>
    <n v="60.72"/>
    <n v="0"/>
    <n v="0"/>
    <n v="359"/>
    <n v="180"/>
  </r>
  <r>
    <x v="5"/>
    <s v="[040] BAOLAN"/>
    <n v="27026"/>
    <n v="1247"/>
    <n v="11397"/>
    <n v="14382"/>
    <n v="513"/>
    <n v="11071"/>
    <n v="2798"/>
    <n v="0"/>
    <n v="53.22"/>
    <n v="0"/>
    <n v="0"/>
    <n v="2260"/>
    <n v="1595"/>
  </r>
  <r>
    <x v="5"/>
    <s v="[041] LAMPASIO"/>
    <n v="4904"/>
    <n v="138"/>
    <n v="2156"/>
    <n v="2610"/>
    <n v="66"/>
    <n v="2094"/>
    <n v="450"/>
    <n v="0"/>
    <n v="53.22"/>
    <n v="0"/>
    <n v="0"/>
    <n v="388"/>
    <n v="155"/>
  </r>
  <r>
    <x v="5"/>
    <s v="[050] GALANG"/>
    <n v="15196"/>
    <n v="652"/>
    <n v="6032"/>
    <n v="8512"/>
    <n v="106"/>
    <n v="7513"/>
    <n v="893"/>
    <n v="0"/>
    <n v="56.01"/>
    <n v="0"/>
    <n v="0"/>
    <n v="1289"/>
    <n v="761"/>
  </r>
  <r>
    <x v="5"/>
    <s v="[060] TOLITOLI UTARA"/>
    <n v="7863"/>
    <n v="92"/>
    <n v="3166"/>
    <n v="4605"/>
    <n v="32"/>
    <n v="4120"/>
    <n v="453"/>
    <n v="0"/>
    <n v="58.57"/>
    <n v="0"/>
    <n v="0"/>
    <n v="616"/>
    <n v="409"/>
  </r>
  <r>
    <x v="5"/>
    <s v="[061] DAKO PEMEAN"/>
    <n v="3966"/>
    <n v="240"/>
    <n v="1512"/>
    <n v="2214"/>
    <n v="64"/>
    <n v="1974"/>
    <n v="176"/>
    <n v="0"/>
    <n v="55.82"/>
    <n v="0"/>
    <n v="0"/>
    <n v="344"/>
    <n v="187"/>
  </r>
  <r>
    <x v="6"/>
    <s v="[000] -"/>
    <n v="133"/>
    <n v="68"/>
    <n v="39"/>
    <n v="26"/>
    <n v="0"/>
    <n v="0"/>
    <n v="0"/>
    <n v="26"/>
    <n v="19.55"/>
    <n v="0"/>
    <n v="0"/>
    <n v="42"/>
    <n v="0"/>
  </r>
  <r>
    <x v="6"/>
    <s v="[010] LAKEA"/>
    <n v="4880"/>
    <n v="159"/>
    <n v="1746"/>
    <n v="2975"/>
    <n v="353"/>
    <n v="2123"/>
    <n v="498"/>
    <n v="1"/>
    <n v="60.96"/>
    <n v="0"/>
    <n v="0"/>
    <n v="419"/>
    <n v="248"/>
  </r>
  <r>
    <x v="6"/>
    <s v="[011] BIAU"/>
    <n v="15256"/>
    <n v="861"/>
    <n v="6358"/>
    <n v="8037"/>
    <n v="449"/>
    <n v="6381"/>
    <n v="1201"/>
    <n v="6"/>
    <n v="52.68"/>
    <n v="0"/>
    <n v="0"/>
    <n v="1290"/>
    <n v="448"/>
  </r>
  <r>
    <x v="6"/>
    <s v="[012] KARAMAT"/>
    <n v="3976"/>
    <n v="188"/>
    <n v="1625"/>
    <n v="2163"/>
    <n v="104"/>
    <n v="1970"/>
    <n v="87"/>
    <n v="2"/>
    <n v="54.4"/>
    <n v="0"/>
    <n v="0"/>
    <n v="241"/>
    <n v="90"/>
  </r>
  <r>
    <x v="6"/>
    <s v="[020] MOMUNU"/>
    <n v="7152"/>
    <n v="566"/>
    <n v="2425"/>
    <n v="4161"/>
    <n v="140"/>
    <n v="3352"/>
    <n v="668"/>
    <n v="1"/>
    <n v="58.18"/>
    <n v="0"/>
    <n v="0"/>
    <n v="457"/>
    <n v="243"/>
  </r>
  <r>
    <x v="6"/>
    <s v="[021] TILOAN"/>
    <n v="3990"/>
    <n v="117"/>
    <n v="1564"/>
    <n v="2309"/>
    <n v="61"/>
    <n v="1730"/>
    <n v="517"/>
    <n v="1"/>
    <n v="57.87"/>
    <n v="0"/>
    <n v="0"/>
    <n v="322"/>
    <n v="153"/>
  </r>
  <r>
    <x v="6"/>
    <s v="[030] BOKAT"/>
    <n v="7363"/>
    <n v="422"/>
    <n v="2943"/>
    <n v="3998"/>
    <n v="176"/>
    <n v="3619"/>
    <n v="199"/>
    <n v="4"/>
    <n v="54.3"/>
    <n v="0"/>
    <n v="0"/>
    <n v="533"/>
    <n v="224"/>
  </r>
  <r>
    <x v="6"/>
    <s v="[031] BUKAL"/>
    <n v="5993"/>
    <n v="306"/>
    <n v="2474"/>
    <n v="3213"/>
    <n v="105"/>
    <n v="2973"/>
    <n v="133"/>
    <n v="2"/>
    <n v="53.61"/>
    <n v="0"/>
    <n v="0"/>
    <n v="446"/>
    <n v="96"/>
  </r>
  <r>
    <x v="6"/>
    <s v="[040] BUNOBOGU"/>
    <n v="4172"/>
    <n v="338"/>
    <n v="1528"/>
    <n v="2306"/>
    <n v="46"/>
    <n v="2046"/>
    <n v="214"/>
    <n v="0"/>
    <n v="55.27"/>
    <n v="0"/>
    <n v="0"/>
    <n v="359"/>
    <n v="102"/>
  </r>
  <r>
    <x v="6"/>
    <s v="[041] GADUNG"/>
    <n v="5178"/>
    <n v="233"/>
    <n v="1679"/>
    <n v="3266"/>
    <n v="46"/>
    <n v="2250"/>
    <n v="969"/>
    <n v="1"/>
    <n v="63.07"/>
    <n v="0"/>
    <n v="0"/>
    <n v="552"/>
    <n v="77"/>
  </r>
  <r>
    <x v="6"/>
    <s v="[050] PALELEH"/>
    <n v="5556"/>
    <n v="606"/>
    <n v="2112"/>
    <n v="2838"/>
    <n v="69"/>
    <n v="2657"/>
    <n v="111"/>
    <n v="1"/>
    <n v="51.08"/>
    <n v="0"/>
    <n v="0"/>
    <n v="399"/>
    <n v="126"/>
  </r>
  <r>
    <x v="6"/>
    <s v="[051] PALELEH BARAT"/>
    <n v="2588"/>
    <n v="213"/>
    <n v="856"/>
    <n v="1519"/>
    <n v="44"/>
    <n v="1279"/>
    <n v="195"/>
    <n v="1"/>
    <n v="58.69"/>
    <n v="0"/>
    <n v="0"/>
    <n v="204"/>
    <n v="102"/>
  </r>
  <r>
    <x v="7"/>
    <s v="[010] SAUSU"/>
    <n v="8885"/>
    <n v="320"/>
    <n v="3495"/>
    <n v="5070"/>
    <n v="239"/>
    <n v="2620"/>
    <n v="2211"/>
    <n v="0"/>
    <n v="57.06"/>
    <n v="0"/>
    <n v="0"/>
    <n v="633"/>
    <n v="272"/>
  </r>
  <r>
    <x v="7"/>
    <s v="[011] TORUE"/>
    <n v="9695"/>
    <n v="203"/>
    <n v="3078"/>
    <n v="6414"/>
    <n v="286"/>
    <n v="3778"/>
    <n v="2350"/>
    <n v="0"/>
    <n v="66.16"/>
    <n v="0"/>
    <n v="0"/>
    <n v="718"/>
    <n v="285"/>
  </r>
  <r>
    <x v="7"/>
    <s v="[012] BALINGGI"/>
    <n v="7410"/>
    <n v="1"/>
    <n v="2786"/>
    <n v="4623"/>
    <n v="200"/>
    <n v="2132"/>
    <n v="2291"/>
    <n v="0"/>
    <n v="62.39"/>
    <n v="0"/>
    <n v="0"/>
    <n v="337"/>
    <n v="64"/>
  </r>
  <r>
    <x v="7"/>
    <s v="[020] PARIGI"/>
    <n v="14689"/>
    <n v="217"/>
    <n v="7366"/>
    <n v="7106"/>
    <n v="591"/>
    <n v="3457"/>
    <n v="3054"/>
    <n v="4"/>
    <n v="48.38"/>
    <n v="0"/>
    <n v="0"/>
    <n v="692"/>
    <n v="524"/>
  </r>
  <r>
    <x v="7"/>
    <s v="[021] PARIGI SELATAN"/>
    <n v="9698"/>
    <n v="87"/>
    <n v="4678"/>
    <n v="4933"/>
    <n v="433"/>
    <n v="3599"/>
    <n v="901"/>
    <n v="0"/>
    <n v="50.87"/>
    <n v="0"/>
    <n v="0"/>
    <n v="375"/>
    <n v="394"/>
  </r>
  <r>
    <x v="7"/>
    <s v="[022] PARIGI BARAT"/>
    <n v="3214"/>
    <n v="47"/>
    <n v="1633"/>
    <n v="1534"/>
    <n v="30"/>
    <n v="1163"/>
    <n v="341"/>
    <n v="0"/>
    <n v="47.73"/>
    <n v="0"/>
    <n v="0"/>
    <n v="164"/>
    <n v="49"/>
  </r>
  <r>
    <x v="7"/>
    <s v="[023] PARIGI UTARA"/>
    <n v="2507"/>
    <n v="51"/>
    <n v="763"/>
    <n v="1693"/>
    <n v="21"/>
    <n v="1001"/>
    <n v="671"/>
    <n v="0"/>
    <n v="67.53"/>
    <n v="0"/>
    <n v="0"/>
    <n v="127"/>
    <n v="30"/>
  </r>
  <r>
    <x v="7"/>
    <s v="[024] PARIGI TENGAH"/>
    <n v="3745"/>
    <n v="253"/>
    <n v="1129"/>
    <n v="2363"/>
    <n v="53"/>
    <n v="1393"/>
    <n v="917"/>
    <n v="0"/>
    <n v="63.1"/>
    <n v="0"/>
    <n v="0"/>
    <n v="183"/>
    <n v="115"/>
  </r>
  <r>
    <x v="7"/>
    <s v="[030] AMPIBABO"/>
    <n v="9996"/>
    <n v="173"/>
    <n v="3043"/>
    <n v="6780"/>
    <n v="24"/>
    <n v="6310"/>
    <n v="446"/>
    <n v="0"/>
    <n v="67.83"/>
    <n v="0"/>
    <n v="0"/>
    <n v="525"/>
    <n v="384"/>
  </r>
  <r>
    <x v="7"/>
    <s v="[031] KASIMBAR"/>
    <n v="10160"/>
    <n v="347"/>
    <n v="4288"/>
    <n v="5525"/>
    <n v="156"/>
    <n v="3785"/>
    <n v="1584"/>
    <n v="0"/>
    <n v="54.38"/>
    <n v="0"/>
    <n v="0"/>
    <n v="469"/>
    <n v="359"/>
  </r>
  <r>
    <x v="7"/>
    <s v="[032] TORIBULU"/>
    <n v="7004"/>
    <n v="27"/>
    <n v="2007"/>
    <n v="4970"/>
    <n v="525"/>
    <n v="3623"/>
    <n v="822"/>
    <n v="0"/>
    <n v="70.959999999999994"/>
    <n v="0"/>
    <n v="0"/>
    <n v="337"/>
    <n v="354"/>
  </r>
  <r>
    <x v="7"/>
    <s v="[033] SINIU"/>
    <n v="4457"/>
    <n v="139"/>
    <n v="1472"/>
    <n v="2846"/>
    <n v="243"/>
    <n v="1221"/>
    <n v="1382"/>
    <n v="0"/>
    <n v="63.85"/>
    <n v="0"/>
    <n v="0"/>
    <n v="222"/>
    <n v="272"/>
  </r>
  <r>
    <x v="7"/>
    <s v="[040] TINOMBO"/>
    <n v="9106"/>
    <n v="284"/>
    <n v="3164"/>
    <n v="5658"/>
    <n v="119"/>
    <n v="5020"/>
    <n v="519"/>
    <n v="0"/>
    <n v="62.13"/>
    <n v="0"/>
    <n v="0"/>
    <n v="600"/>
    <n v="282"/>
  </r>
  <r>
    <x v="7"/>
    <s v="[041] TINOMBO SELATAN"/>
    <n v="12651"/>
    <n v="784"/>
    <n v="4112"/>
    <n v="7755"/>
    <n v="134"/>
    <n v="4476"/>
    <n v="3145"/>
    <n v="0"/>
    <n v="61.3"/>
    <n v="0"/>
    <n v="0"/>
    <n v="908"/>
    <n v="482"/>
  </r>
  <r>
    <x v="7"/>
    <s v="[042] SIDOAN"/>
    <n v="6066"/>
    <n v="428"/>
    <n v="2490"/>
    <n v="3148"/>
    <n v="58"/>
    <n v="2678"/>
    <n v="412"/>
    <n v="0"/>
    <n v="51.9"/>
    <n v="0"/>
    <n v="0"/>
    <n v="327"/>
    <n v="197"/>
  </r>
  <r>
    <x v="7"/>
    <s v="[050] TOMINI"/>
    <n v="7497"/>
    <n v="140"/>
    <n v="3017"/>
    <n v="4340"/>
    <n v="72"/>
    <n v="3876"/>
    <n v="392"/>
    <n v="0"/>
    <n v="57.89"/>
    <n v="0"/>
    <n v="0"/>
    <n v="365"/>
    <n v="173"/>
  </r>
  <r>
    <x v="7"/>
    <s v="[051] MEPANGA"/>
    <n v="13274"/>
    <n v="854"/>
    <n v="5096"/>
    <n v="7324"/>
    <n v="307"/>
    <n v="4219"/>
    <n v="2798"/>
    <n v="0"/>
    <n v="55.18"/>
    <n v="0"/>
    <n v="0"/>
    <n v="732"/>
    <n v="457"/>
  </r>
  <r>
    <x v="7"/>
    <s v="[052] PALASA"/>
    <n v="10761"/>
    <n v="108"/>
    <n v="4753"/>
    <n v="5900"/>
    <n v="183"/>
    <n v="5605"/>
    <n v="112"/>
    <n v="0"/>
    <n v="54.83"/>
    <n v="0"/>
    <n v="0"/>
    <n v="630"/>
    <n v="317"/>
  </r>
  <r>
    <x v="7"/>
    <s v="[060] MOUTONG"/>
    <n v="9629"/>
    <n v="99"/>
    <n v="3961"/>
    <n v="5569"/>
    <n v="699"/>
    <n v="3090"/>
    <n v="1780"/>
    <n v="0"/>
    <n v="57.84"/>
    <n v="0"/>
    <n v="0"/>
    <n v="340"/>
    <n v="156"/>
  </r>
  <r>
    <x v="7"/>
    <s v="[061] BOLANO LAMBUNU"/>
    <n v="9612"/>
    <n v="257"/>
    <n v="3242"/>
    <n v="6113"/>
    <n v="15"/>
    <n v="4240"/>
    <n v="1858"/>
    <n v="0"/>
    <n v="63.6"/>
    <n v="0"/>
    <n v="0"/>
    <n v="609"/>
    <n v="414"/>
  </r>
  <r>
    <x v="7"/>
    <s v="[062] TAOPA"/>
    <n v="6354"/>
    <n v="364"/>
    <n v="2677"/>
    <n v="3313"/>
    <n v="326"/>
    <n v="2133"/>
    <n v="854"/>
    <n v="0"/>
    <n v="52.14"/>
    <n v="0"/>
    <n v="0"/>
    <n v="174"/>
    <n v="115"/>
  </r>
  <r>
    <x v="7"/>
    <s v="[063] BOLANO"/>
    <n v="7390"/>
    <n v="234"/>
    <n v="2647"/>
    <n v="4509"/>
    <n v="270"/>
    <n v="2196"/>
    <n v="2043"/>
    <n v="0"/>
    <n v="61.01"/>
    <n v="0"/>
    <n v="0"/>
    <n v="504"/>
    <n v="228"/>
  </r>
  <r>
    <x v="7"/>
    <s v="[064] ONGKA MALINO"/>
    <n v="8620"/>
    <n v="88"/>
    <n v="3027"/>
    <n v="5505"/>
    <n v="247"/>
    <n v="4533"/>
    <n v="725"/>
    <n v="0"/>
    <n v="63.86"/>
    <n v="0"/>
    <n v="0"/>
    <n v="526"/>
    <n v="388"/>
  </r>
  <r>
    <x v="8"/>
    <s v="[000] -"/>
    <n v="14"/>
    <n v="8"/>
    <n v="3"/>
    <n v="3"/>
    <n v="0"/>
    <n v="0"/>
    <n v="0"/>
    <n v="3"/>
    <n v="21.43"/>
    <n v="0"/>
    <n v="0"/>
    <n v="0"/>
    <n v="0"/>
  </r>
  <r>
    <x v="8"/>
    <s v="[010] TOJO BARAT"/>
    <n v="5607"/>
    <n v="183"/>
    <n v="1944"/>
    <n v="3480"/>
    <n v="429"/>
    <n v="1904"/>
    <n v="1147"/>
    <n v="0"/>
    <n v="62.07"/>
    <n v="0"/>
    <n v="0"/>
    <n v="387"/>
    <n v="208"/>
  </r>
  <r>
    <x v="8"/>
    <s v="[020] TOJO"/>
    <n v="5857"/>
    <n v="107"/>
    <n v="1956"/>
    <n v="3794"/>
    <n v="66"/>
    <n v="3062"/>
    <n v="666"/>
    <n v="0"/>
    <n v="64.78"/>
    <n v="0"/>
    <n v="0"/>
    <n v="407"/>
    <n v="215"/>
  </r>
  <r>
    <x v="8"/>
    <s v="[030] ULUBONGKA"/>
    <n v="7862"/>
    <n v="45"/>
    <n v="2765"/>
    <n v="5052"/>
    <n v="58"/>
    <n v="4163"/>
    <n v="830"/>
    <n v="1"/>
    <n v="64.260000000000005"/>
    <n v="0"/>
    <n v="0"/>
    <n v="629"/>
    <n v="255"/>
  </r>
  <r>
    <x v="8"/>
    <s v="[040] AMPANA TETE"/>
    <n v="11518"/>
    <n v="91"/>
    <n v="3717"/>
    <n v="7710"/>
    <n v="363"/>
    <n v="6487"/>
    <n v="860"/>
    <n v="0"/>
    <n v="66.94"/>
    <n v="0"/>
    <n v="0"/>
    <n v="692"/>
    <n v="206"/>
  </r>
  <r>
    <x v="8"/>
    <s v="[050] AMPANA KOTA"/>
    <n v="9386"/>
    <n v="419"/>
    <n v="3284"/>
    <n v="5683"/>
    <n v="837"/>
    <n v="3739"/>
    <n v="1105"/>
    <n v="2"/>
    <n v="60.55"/>
    <n v="0"/>
    <n v="0"/>
    <n v="591"/>
    <n v="402"/>
  </r>
  <r>
    <x v="8"/>
    <s v="[051] RATOLINDO"/>
    <n v="12849"/>
    <n v="145"/>
    <n v="5282"/>
    <n v="7422"/>
    <n v="903"/>
    <n v="5275"/>
    <n v="1242"/>
    <n v="2"/>
    <n v="57.76"/>
    <n v="0"/>
    <n v="0"/>
    <n v="647"/>
    <n v="664"/>
  </r>
  <r>
    <x v="8"/>
    <s v="[060] UNA - UNA"/>
    <n v="2893"/>
    <n v="86"/>
    <n v="1448"/>
    <n v="1359"/>
    <n v="309"/>
    <n v="711"/>
    <n v="339"/>
    <n v="0"/>
    <n v="46.98"/>
    <n v="0"/>
    <n v="0"/>
    <n v="216"/>
    <n v="165"/>
  </r>
  <r>
    <x v="8"/>
    <s v="[061] BATUDAKA"/>
    <n v="2066"/>
    <n v="2"/>
    <n v="714"/>
    <n v="1350"/>
    <n v="150"/>
    <n v="518"/>
    <n v="682"/>
    <n v="0"/>
    <n v="65.34"/>
    <n v="0"/>
    <n v="0"/>
    <n v="117"/>
    <n v="53"/>
  </r>
  <r>
    <x v="8"/>
    <s v="[070] TOGEAN"/>
    <n v="3618"/>
    <n v="131"/>
    <n v="1391"/>
    <n v="2096"/>
    <n v="65"/>
    <n v="1424"/>
    <n v="607"/>
    <n v="0"/>
    <n v="57.93"/>
    <n v="0"/>
    <n v="0"/>
    <n v="255"/>
    <n v="74"/>
  </r>
  <r>
    <x v="8"/>
    <s v="[080] WALEA KEPULAUAN"/>
    <n v="1826"/>
    <n v="143"/>
    <n v="635"/>
    <n v="1048"/>
    <n v="71"/>
    <n v="703"/>
    <n v="274"/>
    <n v="0"/>
    <n v="57.39"/>
    <n v="0"/>
    <n v="0"/>
    <n v="138"/>
    <n v="84"/>
  </r>
  <r>
    <x v="8"/>
    <s v="[081] WALEA BESAR"/>
    <n v="1535"/>
    <n v="13"/>
    <n v="506"/>
    <n v="1016"/>
    <n v="60"/>
    <n v="514"/>
    <n v="442"/>
    <n v="0"/>
    <n v="66.19"/>
    <n v="0"/>
    <n v="0"/>
    <n v="88"/>
    <n v="33"/>
  </r>
  <r>
    <x v="8"/>
    <s v="[082] TALATAKO"/>
    <n v="2007"/>
    <n v="30"/>
    <n v="867"/>
    <n v="1110"/>
    <n v="232"/>
    <n v="603"/>
    <n v="275"/>
    <n v="0"/>
    <n v="55.31"/>
    <n v="0"/>
    <n v="0"/>
    <n v="49"/>
    <n v="88"/>
  </r>
  <r>
    <x v="9"/>
    <s v="[000] -"/>
    <n v="15"/>
    <n v="0"/>
    <n v="0"/>
    <n v="15"/>
    <n v="0"/>
    <n v="0"/>
    <n v="9"/>
    <n v="6"/>
    <n v="100"/>
    <n v="0"/>
    <n v="0"/>
    <n v="15"/>
    <n v="0"/>
  </r>
  <r>
    <x v="9"/>
    <s v="[010] PIPIKORO"/>
    <n v="3554"/>
    <n v="0"/>
    <n v="1242"/>
    <n v="2312"/>
    <n v="15"/>
    <n v="1728"/>
    <n v="569"/>
    <n v="0"/>
    <n v="65.05"/>
    <n v="0"/>
    <n v="0"/>
    <n v="135"/>
    <n v="32"/>
  </r>
  <r>
    <x v="9"/>
    <s v="[020] KULAWI SELATAN"/>
    <n v="3799"/>
    <n v="12"/>
    <n v="1896"/>
    <n v="1891"/>
    <n v="20"/>
    <n v="1334"/>
    <n v="537"/>
    <n v="0"/>
    <n v="49.78"/>
    <n v="0"/>
    <n v="0"/>
    <n v="180"/>
    <n v="54"/>
  </r>
  <r>
    <x v="9"/>
    <s v="[030] KULAWI"/>
    <n v="6580"/>
    <n v="13"/>
    <n v="3251"/>
    <n v="3316"/>
    <n v="249"/>
    <n v="3015"/>
    <n v="52"/>
    <n v="0"/>
    <n v="50.4"/>
    <n v="0"/>
    <n v="0"/>
    <n v="197"/>
    <n v="104"/>
  </r>
  <r>
    <x v="9"/>
    <s v="[040] LINDU"/>
    <n v="2146"/>
    <n v="3"/>
    <n v="1109"/>
    <n v="1034"/>
    <n v="18"/>
    <n v="977"/>
    <n v="39"/>
    <n v="0"/>
    <n v="48.18"/>
    <n v="0"/>
    <n v="0"/>
    <n v="112"/>
    <n v="12"/>
  </r>
  <r>
    <x v="9"/>
    <s v="[050] NOKILALAKI"/>
    <n v="2494"/>
    <n v="13"/>
    <n v="876"/>
    <n v="1605"/>
    <n v="3"/>
    <n v="1489"/>
    <n v="113"/>
    <n v="0"/>
    <n v="64.349999999999994"/>
    <n v="0"/>
    <n v="0"/>
    <n v="106"/>
    <n v="59"/>
  </r>
  <r>
    <x v="9"/>
    <s v="[060] PALOLO"/>
    <n v="12676"/>
    <n v="344"/>
    <n v="5848"/>
    <n v="6484"/>
    <n v="128"/>
    <n v="5988"/>
    <n v="368"/>
    <n v="0"/>
    <n v="51.15"/>
    <n v="0"/>
    <n v="0"/>
    <n v="468"/>
    <n v="281"/>
  </r>
  <r>
    <x v="9"/>
    <s v="[070] GUMBASA"/>
    <n v="6388"/>
    <n v="163"/>
    <n v="2183"/>
    <n v="4042"/>
    <n v="283"/>
    <n v="2574"/>
    <n v="1185"/>
    <n v="0"/>
    <n v="63.27"/>
    <n v="0"/>
    <n v="0"/>
    <n v="211"/>
    <n v="162"/>
  </r>
  <r>
    <x v="9"/>
    <s v="[080] DOLO SELATAN"/>
    <n v="7863"/>
    <n v="144"/>
    <n v="2746"/>
    <n v="4973"/>
    <n v="108"/>
    <n v="3383"/>
    <n v="1482"/>
    <n v="0"/>
    <n v="63.25"/>
    <n v="0"/>
    <n v="0"/>
    <n v="373"/>
    <n v="258"/>
  </r>
  <r>
    <x v="9"/>
    <s v="[090] DOLO BARAT"/>
    <n v="7654"/>
    <n v="304"/>
    <n v="2502"/>
    <n v="4848"/>
    <n v="67"/>
    <n v="4184"/>
    <n v="597"/>
    <n v="0"/>
    <n v="63.34"/>
    <n v="0"/>
    <n v="0"/>
    <n v="432"/>
    <n v="291"/>
  </r>
  <r>
    <x v="9"/>
    <s v="[100] TANAMBULAVA"/>
    <n v="4781"/>
    <n v="87"/>
    <n v="1364"/>
    <n v="3330"/>
    <n v="17"/>
    <n v="2409"/>
    <n v="904"/>
    <n v="0"/>
    <n v="69.650000000000006"/>
    <n v="0"/>
    <n v="0"/>
    <n v="193"/>
    <n v="100"/>
  </r>
  <r>
    <x v="9"/>
    <s v="[110] DOLO"/>
    <n v="10639"/>
    <n v="185"/>
    <n v="4682"/>
    <n v="5772"/>
    <n v="315"/>
    <n v="4072"/>
    <n v="1385"/>
    <n v="0"/>
    <n v="54.25"/>
    <n v="0"/>
    <n v="0"/>
    <n v="372"/>
    <n v="266"/>
  </r>
  <r>
    <x v="9"/>
    <s v="[120] SIGI BIROMARU"/>
    <n v="21967"/>
    <n v="394"/>
    <n v="9252"/>
    <n v="12321"/>
    <n v="186"/>
    <n v="10527"/>
    <n v="1608"/>
    <n v="0"/>
    <n v="56.09"/>
    <n v="0"/>
    <n v="0"/>
    <n v="1298"/>
    <n v="560"/>
  </r>
  <r>
    <x v="9"/>
    <s v="[121] SIGI KOTA"/>
    <n v="7948"/>
    <n v="343"/>
    <n v="3264"/>
    <n v="4341"/>
    <n v="27"/>
    <n v="4156"/>
    <n v="158"/>
    <n v="0"/>
    <n v="54.62"/>
    <n v="0"/>
    <n v="0"/>
    <n v="397"/>
    <n v="316"/>
  </r>
  <r>
    <x v="9"/>
    <s v="[130] MARAWOLA"/>
    <n v="14028"/>
    <n v="211"/>
    <n v="6556"/>
    <n v="7261"/>
    <n v="197"/>
    <n v="6657"/>
    <n v="405"/>
    <n v="2"/>
    <n v="51.76"/>
    <n v="0"/>
    <n v="0"/>
    <n v="655"/>
    <n v="615"/>
  </r>
  <r>
    <x v="9"/>
    <s v="[140] MARAWOLA BARAT"/>
    <n v="2491"/>
    <n v="26"/>
    <n v="946"/>
    <n v="1519"/>
    <n v="2"/>
    <n v="1503"/>
    <n v="14"/>
    <n v="0"/>
    <n v="60.98"/>
    <n v="0"/>
    <n v="0"/>
    <n v="144"/>
    <n v="36"/>
  </r>
  <r>
    <x v="9"/>
    <s v="[150] KINOVARO"/>
    <n v="4704"/>
    <n v="66"/>
    <n v="1774"/>
    <n v="2864"/>
    <n v="155"/>
    <n v="1917"/>
    <n v="792"/>
    <n v="0"/>
    <n v="60.88"/>
    <n v="0"/>
    <n v="0"/>
    <n v="144"/>
    <n v="118"/>
  </r>
  <r>
    <x v="10"/>
    <s v="[000] -"/>
    <n v="5"/>
    <n v="1"/>
    <n v="1"/>
    <n v="3"/>
    <n v="0"/>
    <n v="0"/>
    <n v="0"/>
    <n v="3"/>
    <n v="60"/>
    <n v="0"/>
    <n v="0"/>
    <n v="2"/>
    <n v="0"/>
  </r>
  <r>
    <x v="10"/>
    <s v="[010] BANGKURUNG"/>
    <n v="3786"/>
    <n v="27"/>
    <n v="1213"/>
    <n v="2546"/>
    <n v="24"/>
    <n v="2296"/>
    <n v="226"/>
    <n v="0"/>
    <n v="67.25"/>
    <n v="0"/>
    <n v="0"/>
    <n v="232"/>
    <n v="89"/>
  </r>
  <r>
    <x v="10"/>
    <s v="[020] LABOBO"/>
    <n v="2317"/>
    <n v="66"/>
    <n v="980"/>
    <n v="1271"/>
    <n v="8"/>
    <n v="1220"/>
    <n v="43"/>
    <n v="0"/>
    <n v="54.86"/>
    <n v="0"/>
    <n v="0"/>
    <n v="130"/>
    <n v="48"/>
  </r>
  <r>
    <x v="10"/>
    <s v="[030] BANGGAI UTARA"/>
    <n v="3117"/>
    <n v="81"/>
    <n v="753"/>
    <n v="2283"/>
    <n v="17"/>
    <n v="1637"/>
    <n v="629"/>
    <n v="0"/>
    <n v="73.239999999999995"/>
    <n v="0"/>
    <n v="0"/>
    <n v="171"/>
    <n v="83"/>
  </r>
  <r>
    <x v="10"/>
    <s v="[040] BANGGAI"/>
    <n v="11598"/>
    <n v="156"/>
    <n v="3986"/>
    <n v="7456"/>
    <n v="37"/>
    <n v="6676"/>
    <n v="722"/>
    <n v="21"/>
    <n v="64.290000000000006"/>
    <n v="0"/>
    <n v="0"/>
    <n v="370"/>
    <n v="549"/>
  </r>
  <r>
    <x v="10"/>
    <s v="[050] BANGGAI TENGAH"/>
    <n v="3781"/>
    <n v="1"/>
    <n v="1207"/>
    <n v="2573"/>
    <n v="9"/>
    <n v="2346"/>
    <n v="218"/>
    <n v="0"/>
    <n v="68.05"/>
    <n v="0"/>
    <n v="0"/>
    <n v="142"/>
    <n v="168"/>
  </r>
  <r>
    <x v="10"/>
    <s v="[060] BANGGAI SELATAN"/>
    <n v="2459"/>
    <n v="3"/>
    <n v="800"/>
    <n v="1656"/>
    <n v="13"/>
    <n v="1448"/>
    <n v="195"/>
    <n v="0"/>
    <n v="67.34"/>
    <n v="0"/>
    <n v="0"/>
    <n v="68"/>
    <n v="106"/>
  </r>
  <r>
    <x v="10"/>
    <s v="[070] BOKAN KEPULAUAN"/>
    <n v="4746"/>
    <n v="101"/>
    <n v="2091"/>
    <n v="2554"/>
    <n v="13"/>
    <n v="2468"/>
    <n v="73"/>
    <n v="0"/>
    <n v="53.81"/>
    <n v="0"/>
    <n v="0"/>
    <n v="261"/>
    <n v="163"/>
  </r>
  <r>
    <x v="11"/>
    <s v="[000] -"/>
    <n v="1"/>
    <n v="0"/>
    <n v="1"/>
    <n v="0"/>
    <n v="0"/>
    <n v="0"/>
    <n v="0"/>
    <n v="0"/>
    <n v="0"/>
    <n v="0"/>
    <n v="0"/>
    <n v="1"/>
    <n v="0"/>
  </r>
  <r>
    <x v="11"/>
    <s v="[010] MORI ATAS"/>
    <n v="4534"/>
    <n v="57"/>
    <n v="2297"/>
    <n v="2180"/>
    <n v="27"/>
    <n v="1974"/>
    <n v="179"/>
    <n v="0"/>
    <n v="48.08"/>
    <n v="0"/>
    <n v="0"/>
    <n v="84"/>
    <n v="56"/>
  </r>
  <r>
    <x v="11"/>
    <s v="[020] LEMBO"/>
    <n v="5998"/>
    <n v="63"/>
    <n v="2968"/>
    <n v="2967"/>
    <n v="5"/>
    <n v="2881"/>
    <n v="81"/>
    <n v="0"/>
    <n v="49.47"/>
    <n v="0"/>
    <n v="0"/>
    <n v="285"/>
    <n v="92"/>
  </r>
  <r>
    <x v="11"/>
    <s v="[030] LEMBO RAYA"/>
    <n v="3225"/>
    <n v="123"/>
    <n v="1031"/>
    <n v="2071"/>
    <n v="13"/>
    <n v="1911"/>
    <n v="147"/>
    <n v="0"/>
    <n v="64.22"/>
    <n v="0"/>
    <n v="0"/>
    <n v="249"/>
    <n v="51"/>
  </r>
  <r>
    <x v="11"/>
    <s v="[040] PETASIA TIMUR"/>
    <n v="7795"/>
    <n v="114"/>
    <n v="4008"/>
    <n v="3673"/>
    <n v="43"/>
    <n v="2909"/>
    <n v="720"/>
    <n v="1"/>
    <n v="47.12"/>
    <n v="0"/>
    <n v="0"/>
    <n v="430"/>
    <n v="207"/>
  </r>
  <r>
    <x v="11"/>
    <s v="[050] PETASIA"/>
    <n v="8068"/>
    <n v="302"/>
    <n v="4111"/>
    <n v="3655"/>
    <n v="24"/>
    <n v="1180"/>
    <n v="2451"/>
    <n v="0"/>
    <n v="45.3"/>
    <n v="0"/>
    <n v="0"/>
    <n v="414"/>
    <n v="188"/>
  </r>
  <r>
    <x v="11"/>
    <s v="[060] PETASIA BARAT"/>
    <n v="2822"/>
    <n v="2"/>
    <n v="1507"/>
    <n v="1313"/>
    <n v="66"/>
    <n v="1095"/>
    <n v="152"/>
    <n v="0"/>
    <n v="46.53"/>
    <n v="0"/>
    <n v="0"/>
    <n v="120"/>
    <n v="57"/>
  </r>
  <r>
    <x v="11"/>
    <s v="[070] MORI UTARA"/>
    <n v="3244"/>
    <n v="109"/>
    <n v="1060"/>
    <n v="2075"/>
    <n v="130"/>
    <n v="1219"/>
    <n v="726"/>
    <n v="0"/>
    <n v="63.96"/>
    <n v="0"/>
    <n v="0"/>
    <n v="92"/>
    <n v="124"/>
  </r>
  <r>
    <x v="11"/>
    <s v="[080] SOYO JAYA"/>
    <n v="3453"/>
    <n v="62"/>
    <n v="1466"/>
    <n v="1925"/>
    <n v="72"/>
    <n v="1598"/>
    <n v="255"/>
    <n v="0"/>
    <n v="55.75"/>
    <n v="0"/>
    <n v="0"/>
    <n v="185"/>
    <n v="122"/>
  </r>
  <r>
    <x v="11"/>
    <s v="[090] BUNGKU UTARA"/>
    <n v="5162"/>
    <n v="11"/>
    <n v="2313"/>
    <n v="2838"/>
    <n v="88"/>
    <n v="2353"/>
    <n v="397"/>
    <n v="0"/>
    <n v="54.98"/>
    <n v="0"/>
    <n v="0"/>
    <n v="237"/>
    <n v="72"/>
  </r>
  <r>
    <x v="11"/>
    <s v="[100] MAMOSALATO"/>
    <n v="3569"/>
    <n v="11"/>
    <n v="1609"/>
    <n v="1949"/>
    <n v="665"/>
    <n v="855"/>
    <n v="429"/>
    <n v="0"/>
    <n v="54.61"/>
    <n v="0"/>
    <n v="0"/>
    <n v="191"/>
    <n v="19"/>
  </r>
  <r>
    <x v="12"/>
    <s v="[000] -"/>
    <n v="59"/>
    <n v="21"/>
    <n v="11"/>
    <n v="27"/>
    <n v="0"/>
    <n v="0"/>
    <n v="0"/>
    <n v="27"/>
    <n v="45.76"/>
    <n v="0"/>
    <n v="0"/>
    <n v="12"/>
    <n v="0"/>
  </r>
  <r>
    <x v="12"/>
    <s v="[010] PALU BARAT"/>
    <n v="23553"/>
    <n v="562"/>
    <n v="10966"/>
    <n v="12025"/>
    <n v="209"/>
    <n v="7048"/>
    <n v="4765"/>
    <n v="3"/>
    <n v="51.06"/>
    <n v="0"/>
    <n v="0"/>
    <n v="1030"/>
    <n v="831"/>
  </r>
  <r>
    <x v="12"/>
    <s v="[011] TATANGA"/>
    <n v="27144"/>
    <n v="808"/>
    <n v="13566"/>
    <n v="12770"/>
    <n v="772"/>
    <n v="8053"/>
    <n v="3942"/>
    <n v="3"/>
    <n v="47.05"/>
    <n v="0"/>
    <n v="0"/>
    <n v="792"/>
    <n v="1031"/>
  </r>
  <r>
    <x v="12"/>
    <s v="[012] ULUJADI"/>
    <n v="17551"/>
    <n v="730"/>
    <n v="8134"/>
    <n v="8687"/>
    <n v="186"/>
    <n v="6527"/>
    <n v="1973"/>
    <n v="1"/>
    <n v="49.5"/>
    <n v="0"/>
    <n v="0"/>
    <n v="693"/>
    <n v="955"/>
  </r>
  <r>
    <x v="12"/>
    <s v="[020] PALU SELATAN"/>
    <n v="37061"/>
    <n v="2377"/>
    <n v="19715"/>
    <n v="14969"/>
    <n v="627"/>
    <n v="11211"/>
    <n v="3125"/>
    <n v="6"/>
    <n v="40.39"/>
    <n v="0"/>
    <n v="0"/>
    <n v="1731"/>
    <n v="986"/>
  </r>
  <r>
    <x v="12"/>
    <s v="[030] PALU TIMUR"/>
    <n v="23914"/>
    <n v="1156"/>
    <n v="10788"/>
    <n v="11970"/>
    <n v="619"/>
    <n v="8691"/>
    <n v="2657"/>
    <n v="3"/>
    <n v="50.05"/>
    <n v="0"/>
    <n v="0"/>
    <n v="567"/>
    <n v="894"/>
  </r>
  <r>
    <x v="12"/>
    <s v="[031] MANTIKULORE"/>
    <n v="46302"/>
    <n v="2034"/>
    <n v="24492"/>
    <n v="19776"/>
    <n v="623"/>
    <n v="15786"/>
    <n v="3364"/>
    <n v="3"/>
    <n v="42.71"/>
    <n v="0"/>
    <n v="0"/>
    <n v="1870"/>
    <n v="1803"/>
  </r>
  <r>
    <x v="12"/>
    <s v="[040] PALU UTARA"/>
    <n v="11677"/>
    <n v="610"/>
    <n v="6038"/>
    <n v="5029"/>
    <n v="80"/>
    <n v="3899"/>
    <n v="1048"/>
    <n v="2"/>
    <n v="43.07"/>
    <n v="0"/>
    <n v="0"/>
    <n v="339"/>
    <n v="399"/>
  </r>
  <r>
    <x v="12"/>
    <s v="[041] TAWAELI"/>
    <n v="10379"/>
    <n v="451"/>
    <n v="4746"/>
    <n v="5182"/>
    <n v="83"/>
    <n v="2975"/>
    <n v="2122"/>
    <n v="2"/>
    <n v="49.93"/>
    <n v="0"/>
    <n v="0"/>
    <n v="303"/>
    <n v="26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4F1167-1647-4A34-BD9C-8C563CC36539}" name="PivotTable11" cacheId="4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J17" firstHeaderRow="0" firstDataRow="1" firstDataCol="1"/>
  <pivotFields count="15"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Persentase" fld="10" baseField="0" baseItem="0"/>
    <dataField name="Sum of Total Prelist" fld="2" baseField="0" baseItem="0"/>
    <dataField name="Sum of Total Draft" fld="3" baseField="0" baseItem="0"/>
    <dataField name="Sum of Total Open" fld="4" baseField="0" baseItem="0"/>
    <dataField name="Sum of Total Submitted" fld="5" baseField="0" baseItem="0"/>
    <dataField name="Sum of Total Rejected" fld="6" baseField="0" baseItem="0"/>
    <dataField name="Sum of Total Approved" fld="7" baseField="0" baseItem="0"/>
    <dataField name="Sum of Submitted Pencacah" fld="8" baseField="0" baseItem="0"/>
    <dataField name="Sum of Submitted Respondent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67C408E4-B15A-4E4A-907C-2FA4FDDB7649}" autoFormatId="16" applyNumberFormats="0" applyBorderFormats="0" applyFontFormats="0" applyPatternFormats="0" applyAlignmentFormats="0" applyWidthHeightFormats="0">
  <queryTableRefresh nextId="17" unboundColumnsRight="4">
    <queryTableFields count="16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EDITED BY Admin Kabupaten" tableColumnId="7"/>
      <queryTableField id="8" name="COMPLETED BY Admin Kabupaten" tableColumnId="8"/>
      <queryTableField id="9" name="REVOKED BY Pengawas" tableColumnId="9"/>
      <queryTableField id="10" name="SUBMITTED RESPONDENT" tableColumnId="10"/>
      <queryTableField id="11" name="EDITED BY Pengawas" tableColumnId="11"/>
      <queryTableField id="12" name="REJECTED BY Admin Kabupaten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C5062F24-BA1C-468A-A099-01B6F5D9F720}" autoFormatId="16" applyNumberFormats="0" applyBorderFormats="0" applyFontFormats="0" applyPatternFormats="0" applyAlignmentFormats="0" applyWidthHeightFormats="0">
  <queryTableRefresh nextId="17" unboundColumnsRight="4">
    <queryTableFields count="16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EDITED BY Admin Kabupaten" tableColumnId="7"/>
      <queryTableField id="8" name="COMPLETED BY Admin Kabupaten" tableColumnId="8"/>
      <queryTableField id="9" name="REVOKED BY Pengawas" tableColumnId="9"/>
      <queryTableField id="10" name="SUBMITTED RESPONDENT" tableColumnId="10"/>
      <queryTableField id="11" name="EDITED BY Pengawas" tableColumnId="11"/>
      <queryTableField id="12" name="REJECTED BY Admin Kabupaten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E5AC2A6A-5EE5-48DB-BBCC-30C4A32D497B}" autoFormatId="16" applyNumberFormats="0" applyBorderFormats="0" applyFontFormats="0" applyPatternFormats="0" applyAlignmentFormats="0" applyWidthHeightFormats="0">
  <queryTableRefresh nextId="18" unboundColumnsRight="5">
    <queryTableFields count="17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EDITED BY Admin Kabupaten" tableColumnId="7"/>
      <queryTableField id="8" name="COMPLETED BY Admin Kabupaten" tableColumnId="8"/>
      <queryTableField id="9" name="REVOKED BY Pengawas" tableColumnId="9"/>
      <queryTableField id="10" name="SUBMITTED RESPONDENT" tableColumnId="10"/>
      <queryTableField id="11" name="EDITED BY Pengawas" tableColumnId="11"/>
      <queryTableField id="12" name="REJECTED BY Admin Kabupaten" tableColumnId="12"/>
      <queryTableField id="13" dataBound="0" tableColumnId="13"/>
      <queryTableField id="14" dataBound="0" tableColumnId="14"/>
      <queryTableField id="15" dataBound="0" tableColumnId="15"/>
      <queryTableField id="17" dataBound="0" tableColumnId="17"/>
      <queryTableField id="16" dataBound="0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A6B03C03-1EC4-4E3F-99E7-09E5D1AF46E2}" autoFormatId="16" applyNumberFormats="0" applyBorderFormats="0" applyFontFormats="0" applyPatternFormats="0" applyAlignmentFormats="0" applyWidthHeightFormats="0">
  <queryTableRefresh nextId="18" unboundColumnsRight="5">
    <queryTableFields count="17">
      <queryTableField id="1" name="Wilayah" tableColumnId="1"/>
      <queryTableField id="2" name="OPEN" tableColumnId="2"/>
      <queryTableField id="3" name="SUBMITTED BY Pencacah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REJECTED BY Pengawas" tableColumnId="7"/>
      <queryTableField id="8" name="COMPLETED BY Admin Kabupaten" tableColumnId="8"/>
      <queryTableField id="9" name="REVOKED BY Pengawas" tableColumnId="9"/>
      <queryTableField id="10" name="SUBMITTED RESPONDENT" tableColumnId="10"/>
      <queryTableField id="11" name="EDITED BY Pengawas" tableColumnId="11"/>
      <queryTableField id="12" name="REJECTED BY Admin Kabupaten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CDCD3609-CD65-4C8D-A0F7-490DFC2AA633}" autoFormatId="16" applyNumberFormats="0" applyBorderFormats="0" applyFontFormats="0" applyPatternFormats="0" applyAlignmentFormats="0" applyWidthHeightFormats="0">
  <queryTableRefresh nextId="18" unboundColumnsRight="5">
    <queryTableFields count="17">
      <queryTableField id="1" name="Wilayah" tableColumnId="1"/>
      <queryTableField id="2" name="OPEN" tableColumnId="2"/>
      <queryTableField id="3" name="SUBMITTED BY Pencacah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REJECTED BY Pengawas" tableColumnId="7"/>
      <queryTableField id="8" name="COMPLETED BY Admin Kabupaten" tableColumnId="8"/>
      <queryTableField id="9" name="REVOKED BY Pengawas" tableColumnId="9"/>
      <queryTableField id="10" name="SUBMITTED RESPONDENT" tableColumnId="10"/>
      <queryTableField id="11" name="EDITED BY Pengawas" tableColumnId="11"/>
      <queryTableField id="12" name="REJECTED BY Admin Kabupaten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32333BAE-DA1E-4437-8FA3-BAA4DCAD672A}" autoFormatId="16" applyNumberFormats="0" applyBorderFormats="0" applyFontFormats="0" applyPatternFormats="0" applyAlignmentFormats="0" applyWidthHeightFormats="0">
  <queryTableRefresh nextId="18" unboundColumnsRight="5">
    <queryTableFields count="17">
      <queryTableField id="1" name="Wilayah" tableColumnId="1"/>
      <queryTableField id="2" name="OPEN" tableColumnId="2"/>
      <queryTableField id="3" name="SUBMITTED BY Pencacah" tableColumnId="3"/>
      <queryTableField id="4" name="APPROVED BY Pengawas" tableColumnId="4"/>
      <queryTableField id="5" name="DRAFT" tableColumnId="5"/>
      <queryTableField id="6" name="REJECTED BY Pengawas" tableColumnId="6"/>
      <queryTableField id="7" name="EDITED BY Admin Kabupaten" tableColumnId="7"/>
      <queryTableField id="8" name="COMPLETED BY Admin Kabupaten" tableColumnId="8"/>
      <queryTableField id="9" name="REVOKED BY Pengawas" tableColumnId="9"/>
      <queryTableField id="10" name="SUBMITTED RESPONDENT" tableColumnId="10"/>
      <queryTableField id="11" name="EDITED BY Pengawas" tableColumnId="11"/>
      <queryTableField id="12" name="REJECTED BY Admin Kabupaten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5" xr16:uid="{7A9FE517-A4AE-4CC2-816B-6C8137CB1702}" autoFormatId="16" applyNumberFormats="0" applyBorderFormats="0" applyFontFormats="0" applyPatternFormats="0" applyAlignmentFormats="0" applyWidthHeightFormats="0">
  <queryTableRefresh nextId="18" unboundColumnsRight="5">
    <queryTableFields count="17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EDITED BY Admin Kabupaten" tableColumnId="7"/>
      <queryTableField id="8" name="COMPLETED BY Admin Kabupaten" tableColumnId="8"/>
      <queryTableField id="9" name="REVOKED BY Pengawas" tableColumnId="9"/>
      <queryTableField id="10" name="SUBMITTED RESPONDENT" tableColumnId="10"/>
      <queryTableField id="11" name="EDITED BY Pengawas" tableColumnId="11"/>
      <queryTableField id="12" name="REJECTED BY Admin Kabupaten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6" xr16:uid="{5B7ED5FD-F95E-44B4-A775-EA5E8AFD94E5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EDITED BY Admin Kabupaten" tableColumnId="7"/>
      <queryTableField id="8" name="COMPLETED BY Admin Kabupaten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7" xr16:uid="{6DCFA728-9D85-4D3D-9ABA-83B0A384CF20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EDITED BY Admin Kabupaten" tableColumnId="7"/>
      <queryTableField id="8" name="COMPLETED BY Admin Kabupaten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40016BC-E76F-4E1B-A20C-0E5A8EFEA0EC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COMPLETED BY Admin Kabupaten" tableColumnId="6"/>
      <queryTableField id="7" name="EDITED BY Admin Kabupaten" tableColumnId="7"/>
      <queryTableField id="8" name="REJECTED BY Pengawas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" xr16:uid="{DD875980-0B6A-4EF0-BAF4-9DE402DF7A30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COMPLETED BY Admin Kabupaten" tableColumnId="6"/>
      <queryTableField id="7" name="EDITED BY Admin Kabupaten" tableColumnId="7"/>
      <queryTableField id="8" name="REJECTED BY Pengawas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8" xr16:uid="{04B98965-745D-4805-ABF0-63C1D32265D1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COMPLETED BY Admin Kabupaten" tableColumnId="6"/>
      <queryTableField id="7" name="EDITED BY Admin Kabupaten" tableColumnId="7"/>
      <queryTableField id="8" name="REJECTED BY Pengawas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9" xr16:uid="{158709EB-38F9-4877-9990-42B4F11B20B7}" autoFormatId="16" applyNumberFormats="0" applyBorderFormats="0" applyFontFormats="0" applyPatternFormats="0" applyAlignmentFormats="0" applyWidthHeightFormats="0">
  <queryTableRefresh nextId="22" unboundColumnsRight="8">
    <queryTableFields count="21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COMPLETED BY Admin Kabupaten" tableColumnId="6"/>
      <queryTableField id="7" name="REJECTED BY Pengawas" tableColumnId="7"/>
      <queryTableField id="8" name="EDITED BY Admin Kabupaten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3195BB55-1C92-4529-8C57-0C7B7DBC06CD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COMPLETED BY Admin Kabupaten" tableColumnId="6"/>
      <queryTableField id="7" name="REJECTED BY Pengawas" tableColumnId="7"/>
      <queryTableField id="8" name="EDITED BY Admin Kabupaten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254BB604-9BDB-4442-879F-053B92ED0ADB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COMPLETED BY Admin Kabupaten" tableColumnId="6"/>
      <queryTableField id="7" name="REJECTED BY Pengawas" tableColumnId="7"/>
      <queryTableField id="8" name="EDITED BY Admin Kabupaten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CD526DE-A85A-4915-B064-983730F69511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COMPLETED BY Admin Kabupaten" tableColumnId="7"/>
      <queryTableField id="8" name="EDITED BY Admin Kabupaten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4BE879A0-44A6-40BF-8B0A-C113D08FF52F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COMPLETED BY Admin Kabupaten" tableColumnId="7"/>
      <queryTableField id="8" name="EDITED BY Admin Kabupaten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93C5455B-E5AB-4063-AD84-679F491BF766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COMPLETED BY Admin Kabupaten" tableColumnId="7"/>
      <queryTableField id="8" name="EDITED BY Admin Kabupaten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11339A7F-F9A5-4430-860E-9BF8BAA3A5FF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COMPLETED BY Admin Kabupaten" tableColumnId="7"/>
      <queryTableField id="8" name="EDITED BY Admin Kabupaten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5974B84-8ED8-44A0-A87B-0E38D796FFDF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COMPLETED BY Admin Kabupaten" tableColumnId="7"/>
      <queryTableField id="8" name="EDITED BY Admin Kabupaten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09F09924-72C1-41BD-82C5-7DFDD3B18E19}" autoFormatId="16" applyNumberFormats="0" applyBorderFormats="0" applyFontFormats="0" applyPatternFormats="0" applyAlignmentFormats="0" applyWidthHeightFormats="0">
  <queryTableRefresh nextId="17" unboundColumnsRight="5">
    <queryTableFields count="16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COMPLETED BY Admin Kabupaten" tableColumnId="7"/>
      <queryTableField id="8" name="EDITED BY Admin Kabupaten" tableColumnId="8"/>
      <queryTableField id="9" name="REVOKED BY Pengawas" tableColumnId="9"/>
      <queryTableField id="10" name="SUBMITTED RESPONDENT" tableColumnId="10"/>
      <queryTableField id="11" name="REJECTED BY Admin Kabupaten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3" xr16:uid="{AF621A90-90F8-4FAF-95CE-6E60ADC63C5D}" autoFormatId="16" applyNumberFormats="0" applyBorderFormats="0" applyFontFormats="0" applyPatternFormats="0" applyAlignmentFormats="0" applyWidthHeightFormats="0">
  <queryTableRefresh nextId="16">
    <queryTableFields count="15">
      <queryTableField id="1" name="Kabupaten" tableColumnId="1"/>
      <queryTableField id="2" name="Kecamatan" tableColumnId="2"/>
      <queryTableField id="3" name="Total Prelist" tableColumnId="3"/>
      <queryTableField id="4" name="Total Draft" tableColumnId="4"/>
      <queryTableField id="5" name="Total Open" tableColumnId="5"/>
      <queryTableField id="6" name="Total Submitted" tableColumnId="6"/>
      <queryTableField id="7" name="Total Rejected" tableColumnId="7"/>
      <queryTableField id="8" name="Total Approved" tableColumnId="8"/>
      <queryTableField id="9" name="Submitted Pencacah" tableColumnId="9"/>
      <queryTableField id="10" name="Submitted Respondent" tableColumnId="10"/>
      <queryTableField id="11" name="Persentase" tableColumnId="11"/>
      <queryTableField id="12" name="Today Completed" tableColumnId="12"/>
      <queryTableField id="13" name="Yesterday Completed" tableColumnId="13"/>
      <queryTableField id="14" name="New Usaha" tableColumnId="14"/>
      <queryTableField id="15" name="New Rumah" tableColumnId="15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158D5337-2272-47A4-862B-EC60DD6E348F}" autoFormatId="16" applyNumberFormats="0" applyBorderFormats="0" applyFontFormats="0" applyPatternFormats="0" applyAlignmentFormats="0" applyWidthHeightFormats="0">
  <queryTableRefresh nextId="19" unboundColumnsRight="5">
    <queryTableFields count="18">
      <queryTableField id="1" name="Wilayah" tableColumnId="1"/>
      <queryTableField id="2" name="OPEN" tableColumnId="2"/>
      <queryTableField id="3" name="APPROVED BY Pengawas" tableColumnId="3"/>
      <queryTableField id="4" name="SUBMITTED BY Pencacah" tableColumnId="4"/>
      <queryTableField id="5" name="DRAFT" tableColumnId="5"/>
      <queryTableField id="6" name="REJECTED BY Pengawas" tableColumnId="6"/>
      <queryTableField id="7" name="COMPLETED BY Admin Kabupaten" tableColumnId="7"/>
      <queryTableField id="8" name="EDITED BY Admin Kabupaten" tableColumnId="8"/>
      <queryTableField id="9" name="REVOKED BY Pengawas" tableColumnId="9"/>
      <queryTableField id="10" name="SUBMITTED RESPONDENT" tableColumnId="10"/>
      <queryTableField id="11" name="REVOKED BY Admin Kabupaten" tableColumnId="11"/>
      <queryTableField id="12" name="REJECTED BY Admin Kabupaten" tableColumnId="12"/>
      <queryTableField id="13" name="EDITED BY Pengawas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83850B-EA2F-4DB1-812D-CF3782C02393}" name="progress_assignment_fd68e454_ba45_4b85_8205_f3bf777ded24_sulteng_6_Juli_2026" displayName="progress_assignment_fd68e454_ba45_4b85_8205_f3bf777ded24_sulteng_6_Juli_2026" ref="A1:P14" tableType="queryTable" totalsRowShown="0">
  <autoFilter ref="A1:P14" xr:uid="{823C3A15-9D5E-4344-9840-CD17AF8EAFDD}"/>
  <sortState xmlns:xlrd2="http://schemas.microsoft.com/office/spreadsheetml/2017/richdata2" ref="A2:P14">
    <sortCondition ref="P1:P14"/>
  </sortState>
  <tableColumns count="16">
    <tableColumn id="1" xr3:uid="{B4E5BE59-00ED-4216-B698-7C6251249F45}" uniqueName="1" name="Wilayah" queryTableFieldId="1"/>
    <tableColumn id="2" xr3:uid="{9B07B65F-8FE1-45BF-B319-4C177C523EB6}" uniqueName="2" name="OPEN" queryTableFieldId="2"/>
    <tableColumn id="3" xr3:uid="{36E95000-A468-40F0-8E82-D4F44BB9B948}" uniqueName="3" name="APPROVED BY Pengawas" queryTableFieldId="3"/>
    <tableColumn id="4" xr3:uid="{66CE1346-250C-49AA-8BBB-7C9E0BAD1FFC}" uniqueName="4" name="SUBMITTED BY Pencacah" queryTableFieldId="4"/>
    <tableColumn id="5" xr3:uid="{04A52173-E977-4316-BFF0-0EBE30D7D078}" uniqueName="5" name="DRAFT" queryTableFieldId="5"/>
    <tableColumn id="6" xr3:uid="{563121BF-4FCA-4727-B6BD-C1FCF97DC53B}" uniqueName="6" name="REJECTED BY Pengawas" queryTableFieldId="6"/>
    <tableColumn id="7" xr3:uid="{CDD86749-02FA-47C7-856B-0229EAD430EA}" uniqueName="7" name="EDITED BY Admin Kabupaten" queryTableFieldId="7"/>
    <tableColumn id="8" xr3:uid="{AB346A47-C1F1-466C-9234-28E3DA9363EB}" uniqueName="8" name="COMPLETED BY Admin Kabupaten" queryTableFieldId="8"/>
    <tableColumn id="9" xr3:uid="{B54CE35F-79A8-4D59-B572-F5878CF73396}" uniqueName="9" name="REVOKED BY Pengawas" queryTableFieldId="9"/>
    <tableColumn id="10" xr3:uid="{3AA86775-7670-4F75-9EA2-55F04BF2F74E}" uniqueName="10" name="SUBMITTED RESPONDENT" queryTableFieldId="10"/>
    <tableColumn id="11" xr3:uid="{184431C1-C60A-40BB-AF0E-3282333BEBF2}" uniqueName="11" name="EDITED BY Pengawas" queryTableFieldId="11"/>
    <tableColumn id="12" xr3:uid="{5EE2A119-438D-42F3-AE96-B815BF4C948D}" uniqueName="12" name="REJECTED BY Admin Kabupaten" queryTableFieldId="12"/>
    <tableColumn id="13" xr3:uid="{8DA66F81-62C1-4C6B-8FD0-0B6200D0531F}" uniqueName="13" name="Total" queryTableFieldId="13" dataDxfId="94">
      <calculatedColumnFormula>SUM(progress_assignment_fd68e454_ba45_4b85_8205_f3bf777ded24_sulteng_6_Juli_2026[[#This Row],[OPEN]:[REJECTED BY Admin Kabupaten]])</calculatedColumnFormula>
    </tableColumn>
    <tableColumn id="14" xr3:uid="{29D77EED-5647-4EDA-976A-CA4331085C4A}" uniqueName="14" name="Not Draft + Open" queryTableFieldId="14" dataDxfId="93">
      <calculatedColumnFormula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calculatedColumnFormula>
    </tableColumn>
    <tableColumn id="15" xr3:uid="{59E4A011-02FC-4E40-AC91-CF86E6158D0B}" uniqueName="15" name="Persentase" queryTableFieldId="15" dataCellStyle="Comma">
      <calculatedColumnFormula>progress_assignment_fd68e454_ba45_4b85_8205_f3bf777ded24_sulteng_6_Juli_2026[[#This Row],[Not Draft + Open]]/progress_assignment_fd68e454_ba45_4b85_8205_f3bf777ded24_sulteng_6_Juli_2026[[#This Row],[Total]]*100</calculatedColumnFormula>
    </tableColumn>
    <tableColumn id="16" xr3:uid="{710CAE96-9B36-4415-A6CC-489E661CAD4D}" uniqueName="16" name="Peringkat" queryTableFieldId="16" dataDxfId="92">
      <calculatedColumnFormula>RANK(progress_assignment_fd68e454_ba45_4b85_8205_f3bf777ded24_sulteng_6_Juli_2026[[#This Row],[Persentase]],progress_assignment_fd68e454_ba45_4b85_8205_f3bf777ded24_sulteng_6_Juli_2026[Persentase],0)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858C0A-FCC5-4F74-9BDC-D88DA6491AA4}" name="progress_assignment_fd68e454_ba45_4b85_8205_f3bf777ded24__3" displayName="progress_assignment_fd68e454_ba45_4b85_8205_f3bf777ded24__3" ref="A1:P15" tableType="queryTable" totalsRowShown="0">
  <autoFilter ref="A1:P15" xr:uid="{0BEE1ACB-6F0D-4660-AEAC-E7B5EDBD3615}"/>
  <sortState xmlns:xlrd2="http://schemas.microsoft.com/office/spreadsheetml/2017/richdata2" ref="A2:P15">
    <sortCondition ref="A1:A15"/>
  </sortState>
  <tableColumns count="16">
    <tableColumn id="1" xr3:uid="{057B2863-D698-4946-AA2E-C41446F45A5F}" uniqueName="1" name="Wilayah" queryTableFieldId="1"/>
    <tableColumn id="2" xr3:uid="{8F28CF96-6E64-4DB0-BD2D-7B955A10EF5C}" uniqueName="2" name="OPEN" queryTableFieldId="2"/>
    <tableColumn id="3" xr3:uid="{E48F8DCC-AAEF-4753-9421-543D6DC7AF18}" uniqueName="3" name="APPROVED BY Pengawas" queryTableFieldId="3"/>
    <tableColumn id="4" xr3:uid="{F86D4EDB-AD22-48D0-B896-D64E2B114887}" uniqueName="4" name="SUBMITTED BY Pencacah" queryTableFieldId="4"/>
    <tableColumn id="5" xr3:uid="{2655502C-BC50-44F0-B122-D24705FB164E}" uniqueName="5" name="DRAFT" queryTableFieldId="5"/>
    <tableColumn id="6" xr3:uid="{162DAFB8-E3B8-4B8C-BA16-F211D2A1B32B}" uniqueName="6" name="REJECTED BY Pengawas" queryTableFieldId="6"/>
    <tableColumn id="7" xr3:uid="{0EE88848-4D21-4C4A-AAB4-861D83984EC4}" uniqueName="7" name="EDITED BY Admin Kabupaten" queryTableFieldId="7"/>
    <tableColumn id="8" xr3:uid="{FE433B84-7783-4A99-B9D6-EA069D9CB588}" uniqueName="8" name="COMPLETED BY Admin Kabupaten" queryTableFieldId="8"/>
    <tableColumn id="9" xr3:uid="{42A2A1F8-C32C-4DD3-B844-6E7CF0E17DD5}" uniqueName="9" name="REVOKED BY Pengawas" queryTableFieldId="9"/>
    <tableColumn id="10" xr3:uid="{319CFDEB-4E23-4665-8000-46BCC9AF3B47}" uniqueName="10" name="SUBMITTED RESPONDENT" queryTableFieldId="10"/>
    <tableColumn id="11" xr3:uid="{21A11847-3972-42AA-BDF3-7EB8461022E8}" uniqueName="11" name="EDITED BY Pengawas" queryTableFieldId="11"/>
    <tableColumn id="12" xr3:uid="{825F6454-D1DB-40A5-B414-B93BF0338755}" uniqueName="12" name="REJECTED BY Admin Kabupaten" queryTableFieldId="12"/>
    <tableColumn id="13" xr3:uid="{0B9DA0AF-9EAC-46A1-A771-BBF05C220FEF}" uniqueName="13" name="Total" queryTableFieldId="13" dataDxfId="91">
      <calculatedColumnFormula>SUM(progress_assignment_fd68e454_ba45_4b85_8205_f3bf777ded24__3[[#This Row],[OPEN]:[REJECTED BY Admin Kabupaten]])</calculatedColumnFormula>
    </tableColumn>
    <tableColumn id="14" xr3:uid="{DD711A94-51B6-4A0E-86FF-412CE33A437D}" uniqueName="14" name="Not Draft + Open" queryTableFieldId="14" dataDxfId="90">
      <calculatedColumnFormula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calculatedColumnFormula>
    </tableColumn>
    <tableColumn id="15" xr3:uid="{444C15ED-3BD7-4747-AF1E-D10509067941}" uniqueName="15" name="Persentase" queryTableFieldId="15" dataCellStyle="Comma">
      <calculatedColumnFormula>progress_assignment_fd68e454_ba45_4b85_8205_f3bf777ded24__3[[#This Row],[Not Draft + Open]]/progress_assignment_fd68e454_ba45_4b85_8205_f3bf777ded24__3[[#This Row],[Total]]*100</calculatedColumnFormula>
    </tableColumn>
    <tableColumn id="16" xr3:uid="{7463AA57-7F02-4D9C-B02D-B5FC20A9AC63}" uniqueName="16" name="Peringkat" queryTableFieldId="16" dataDxfId="89">
      <calculatedColumnFormula>RANK(progress_assignment_fd68e454_ba45_4b85_8205_f3bf777ded24__3[[#This Row],[Persentase]],progress_assignment_fd68e454_ba45_4b85_8205_f3bf777ded24__3[Persentase],0)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37E45F-5953-45C0-BF97-05F83B8991A9}" name="progress_assignment_fd68e454_ba45_4b85_8205_f3bf777ded24_8juli" displayName="progress_assignment_fd68e454_ba45_4b85_8205_f3bf777ded24_8juli" ref="A1:Q14" tableType="queryTable" totalsRowShown="0">
  <autoFilter ref="A1:Q14" xr:uid="{2D0BA4B9-E5B4-450D-ACBB-6EC821D5B942}"/>
  <sortState xmlns:xlrd2="http://schemas.microsoft.com/office/spreadsheetml/2017/richdata2" ref="A2:Q14">
    <sortCondition ref="A1:A14"/>
  </sortState>
  <tableColumns count="17">
    <tableColumn id="1" xr3:uid="{9F3A16C7-5788-45E6-B01B-A3D0399BD815}" uniqueName="1" name="Wilayah" queryTableFieldId="1"/>
    <tableColumn id="2" xr3:uid="{C070915F-F660-47E5-A27A-883F5A7A53F1}" uniqueName="2" name="OPEN" queryTableFieldId="2"/>
    <tableColumn id="3" xr3:uid="{69A178AB-F55A-40CC-8D9D-F7B4CCBDC94A}" uniqueName="3" name="APPROVED BY Pengawas" queryTableFieldId="3"/>
    <tableColumn id="4" xr3:uid="{B98E186D-A831-46A1-898E-9D3272B59D24}" uniqueName="4" name="SUBMITTED BY Pencacah" queryTableFieldId="4"/>
    <tableColumn id="5" xr3:uid="{9B57388E-0277-403A-8B69-754DA4E5DBF7}" uniqueName="5" name="DRAFT" queryTableFieldId="5"/>
    <tableColumn id="6" xr3:uid="{FFFFF185-1FE1-489F-9B03-1F24138C7123}" uniqueName="6" name="REJECTED BY Pengawas" queryTableFieldId="6"/>
    <tableColumn id="7" xr3:uid="{F26C6A25-53FE-4D8E-9E52-CA4F90D1BAA9}" uniqueName="7" name="EDITED BY Admin Kabupaten" queryTableFieldId="7"/>
    <tableColumn id="8" xr3:uid="{C5CBF09E-7FF3-48B7-84B5-CFA052FE352C}" uniqueName="8" name="COMPLETED BY Admin Kabupaten" queryTableFieldId="8"/>
    <tableColumn id="9" xr3:uid="{59C34B74-9BCF-4654-830F-C819A43607E6}" uniqueName="9" name="REVOKED BY Pengawas" queryTableFieldId="9"/>
    <tableColumn id="10" xr3:uid="{63357215-C76A-4406-BD3D-30D7A200BFB5}" uniqueName="10" name="SUBMITTED RESPONDENT" queryTableFieldId="10"/>
    <tableColumn id="11" xr3:uid="{E55E5D5E-E465-4615-B53A-7F85FCA52A02}" uniqueName="11" name="EDITED BY Pengawas" queryTableFieldId="11"/>
    <tableColumn id="12" xr3:uid="{C6BE717F-8D32-485F-B1DF-5BD411554C0E}" uniqueName="12" name="REJECTED BY Admin Kabupaten" queryTableFieldId="12"/>
    <tableColumn id="13" xr3:uid="{6ADF504F-C392-4B88-9403-42893D90EED4}" uniqueName="13" name="Total" queryTableFieldId="13" dataDxfId="88">
      <calculatedColumnFormula>SUM(progress_assignment_fd68e454_ba45_4b85_8205_f3bf777ded24_8juli[[#This Row],[OPEN]:[REJECTED BY Admin Kabupaten]])</calculatedColumnFormula>
    </tableColumn>
    <tableColumn id="14" xr3:uid="{BC9866A6-4B32-4833-826C-31D3C993C704}" uniqueName="14" name="Not Draft + Open" queryTableFieldId="14" dataDxfId="87">
      <calculatedColumnFormula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calculatedColumnFormula>
    </tableColumn>
    <tableColumn id="15" xr3:uid="{9FCB1011-D231-499D-A8B9-2AB3483682B9}" uniqueName="15" name="Persentase" queryTableFieldId="15" dataCellStyle="Comma">
      <calculatedColumnFormula>progress_assignment_fd68e454_ba45_4b85_8205_f3bf777ded24_8juli[[#This Row],[Not Draft + Open]]/progress_assignment_fd68e454_ba45_4b85_8205_f3bf777ded24_8juli[[#This Row],[Total]]*100</calculatedColumnFormula>
    </tableColumn>
    <tableColumn id="17" xr3:uid="{53BD0879-E69A-4E34-8CA3-194538791CAF}" uniqueName="17" name="Delta" queryTableFieldId="17" dataDxfId="86" dataCellStyle="Comma">
      <calculatedColumnFormula>progress_assignment_fd68e454_ba45_4b85_8205_f3bf777ded24_8juli[[#This Row],[Persentase]]-progress_assignment_fd68e454_ba45_4b85_8205_f3bf777ded24__3[[#This Row],[Persentase]]</calculatedColumnFormula>
    </tableColumn>
    <tableColumn id="16" xr3:uid="{4D7DD718-B1A2-421E-B70A-8B5F3FF20D2E}" uniqueName="16" name="Peringkat" queryTableFieldId="16" dataDxfId="85">
      <calculatedColumnFormula>RANK(progress_assignment_fd68e454_ba45_4b85_8205_f3bf777ded24_8juli[[#This Row],[Persentase]],progress_assignment_fd68e454_ba45_4b85_8205_f3bf777ded24_8juli[Persentase],0)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C0F067-ADFB-407F-AC90-410FE2939ADF}" name="progress_assignment_fd68e454_ba45_4b85_8205_f3bf777ded24_9_juli" displayName="progress_assignment_fd68e454_ba45_4b85_8205_f3bf777ded24_9_juli" ref="A1:Q14" tableType="queryTable" totalsRowShown="0">
  <autoFilter ref="A1:Q14" xr:uid="{693C4ED7-0EF7-4639-B245-2C45A91741ED}"/>
  <sortState xmlns:xlrd2="http://schemas.microsoft.com/office/spreadsheetml/2017/richdata2" ref="A2:Q14">
    <sortCondition ref="A1:A14"/>
  </sortState>
  <tableColumns count="17">
    <tableColumn id="1" xr3:uid="{3B1F7C17-022A-43DE-AC71-F3C0249C37B9}" uniqueName="1" name="Wilayah" queryTableFieldId="1"/>
    <tableColumn id="2" xr3:uid="{95AF6BBC-6EFF-4A5F-BC3B-FD556CED8AB8}" uniqueName="2" name="OPEN" queryTableFieldId="2"/>
    <tableColumn id="3" xr3:uid="{A6E94F80-41F9-4B3F-8BBC-96CB223FBE4D}" uniqueName="3" name="SUBMITTED BY Pencacah" queryTableFieldId="3"/>
    <tableColumn id="4" xr3:uid="{719A641E-D702-44AC-B131-C3EFE158929C}" uniqueName="4" name="APPROVED BY Pengawas" queryTableFieldId="4"/>
    <tableColumn id="5" xr3:uid="{B26F2F42-3FA9-4754-BC1A-AAC83508E613}" uniqueName="5" name="DRAFT" queryTableFieldId="5"/>
    <tableColumn id="6" xr3:uid="{D7C2ACB2-C9A2-4FFA-BAD0-6225C0A64634}" uniqueName="6" name="EDITED BY Admin Kabupaten" queryTableFieldId="6"/>
    <tableColumn id="7" xr3:uid="{C2581F8F-2F12-4BE1-B34C-E55D3944B2EF}" uniqueName="7" name="REJECTED BY Pengawas" queryTableFieldId="7"/>
    <tableColumn id="8" xr3:uid="{AFE01365-8750-4011-8634-BF49E59F6FA2}" uniqueName="8" name="COMPLETED BY Admin Kabupaten" queryTableFieldId="8"/>
    <tableColumn id="9" xr3:uid="{41349FAC-C9CD-449F-A197-EEC0325191AA}" uniqueName="9" name="REVOKED BY Pengawas" queryTableFieldId="9"/>
    <tableColumn id="10" xr3:uid="{191FA15F-A86A-476D-9BA0-DFCEB956CA6E}" uniqueName="10" name="SUBMITTED RESPONDENT" queryTableFieldId="10"/>
    <tableColumn id="11" xr3:uid="{764B7619-D801-4A39-AEE8-6FD2E0876263}" uniqueName="11" name="EDITED BY Pengawas" queryTableFieldId="11"/>
    <tableColumn id="12" xr3:uid="{5D5E5D4C-D08A-488E-A9D8-835D61FA236B}" uniqueName="12" name="REJECTED BY Admin Kabupaten" queryTableFieldId="12"/>
    <tableColumn id="13" xr3:uid="{1A496D20-1AA0-4CC0-BDCE-DEAAEC7484CA}" uniqueName="13" name="Total" queryTableFieldId="13" dataDxfId="84">
      <calculatedColumnFormula>SUM(progress_assignment_fd68e454_ba45_4b85_8205_f3bf777ded24_9_juli[[#This Row],[OPEN]:[REJECTED BY Admin Kabupaten]])</calculatedColumnFormula>
    </tableColumn>
    <tableColumn id="14" xr3:uid="{3AF89EB5-83C9-4409-8209-0A6073D89CA5}" uniqueName="14" name="Not Draft + Open" queryTableFieldId="14" dataDxfId="83">
      <calculatedColumnFormula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calculatedColumnFormula>
    </tableColumn>
    <tableColumn id="15" xr3:uid="{ADB9C1E6-5F6F-442D-9949-0EC8FC7AA9C4}" uniqueName="15" name="Persentase" queryTableFieldId="15" dataCellStyle="Comma">
      <calculatedColumnFormula>progress_assignment_fd68e454_ba45_4b85_8205_f3bf777ded24_9_juli[[#This Row],[Not Draft + Open]]/progress_assignment_fd68e454_ba45_4b85_8205_f3bf777ded24_9_juli[[#This Row],[Total]]*100</calculatedColumnFormula>
    </tableColumn>
    <tableColumn id="16" xr3:uid="{BE3DBD32-63C7-4503-86D7-E27610E52475}" uniqueName="16" name="Delta" queryTableFieldId="16" dataDxfId="82">
      <calculatedColumnFormula>progress_assignment_fd68e454_ba45_4b85_8205_f3bf777ded24_9_juli[[#This Row],[Persentase]]-progress_assignment_fd68e454_ba45_4b85_8205_f3bf777ded24_8juli[[#This Row],[Persentase]]</calculatedColumnFormula>
    </tableColumn>
    <tableColumn id="17" xr3:uid="{244E7840-A3FA-4B84-8A80-8B7860648872}" uniqueName="17" name="Rank" queryTableFieldId="17" dataDxfId="81">
      <calculatedColumnFormula>RANK(progress_assignment_fd68e454_ba45_4b85_8205_f3bf777ded24_9_juli[[#This Row],[Persentase]],progress_assignment_fd68e454_ba45_4b85_8205_f3bf777ded24_9_juli[Persentase])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B364618-59A2-4DCD-A8AA-B130812EDFF0}" name="progress_assignment_fd68e454_ba45_4b85_8205_f3bf777ded24_10_Juli" displayName="progress_assignment_fd68e454_ba45_4b85_8205_f3bf777ded24_10_Juli" ref="A1:Q14" tableType="queryTable" totalsRowShown="0">
  <autoFilter ref="A1:Q14" xr:uid="{3118A2A4-AD55-423D-9F84-A2E60547DBF9}"/>
  <sortState xmlns:xlrd2="http://schemas.microsoft.com/office/spreadsheetml/2017/richdata2" ref="A2:Q14">
    <sortCondition ref="A1:A14"/>
  </sortState>
  <tableColumns count="17">
    <tableColumn id="1" xr3:uid="{DFC97EB6-ECCE-4ACA-8D3C-5F16AA7D8714}" uniqueName="1" name="Wilayah" queryTableFieldId="1"/>
    <tableColumn id="2" xr3:uid="{D6CE3714-6F2F-4AF1-B4E4-DDE0A411F5C7}" uniqueName="2" name="OPEN" queryTableFieldId="2"/>
    <tableColumn id="3" xr3:uid="{5778F178-332B-4CAC-A247-F9ED0934CBD8}" uniqueName="3" name="SUBMITTED BY Pencacah" queryTableFieldId="3"/>
    <tableColumn id="4" xr3:uid="{910D12D0-0726-4BF7-92F1-08623BB56B19}" uniqueName="4" name="APPROVED BY Pengawas" queryTableFieldId="4"/>
    <tableColumn id="5" xr3:uid="{265D12D9-5CD8-4FB0-9519-0DAC3BD42741}" uniqueName="5" name="DRAFT" queryTableFieldId="5"/>
    <tableColumn id="6" xr3:uid="{B27813CB-B6BC-4D6C-B7D2-1A5CA76A269F}" uniqueName="6" name="EDITED BY Admin Kabupaten" queryTableFieldId="6"/>
    <tableColumn id="7" xr3:uid="{C1AF3988-23BF-41DF-B865-FE4AC7F028C8}" uniqueName="7" name="REJECTED BY Pengawas" queryTableFieldId="7"/>
    <tableColumn id="8" xr3:uid="{3E40D734-2F9B-4C08-93ED-8CC5D794E11B}" uniqueName="8" name="COMPLETED BY Admin Kabupaten" queryTableFieldId="8"/>
    <tableColumn id="9" xr3:uid="{E9698839-7D18-41C9-8FF7-5D3386CC11A9}" uniqueName="9" name="REVOKED BY Pengawas" queryTableFieldId="9"/>
    <tableColumn id="10" xr3:uid="{1E5CE39F-A48B-4097-B3B8-AA43EC91770D}" uniqueName="10" name="SUBMITTED RESPONDENT" queryTableFieldId="10"/>
    <tableColumn id="11" xr3:uid="{F0A2ABCB-B8B3-4A48-98CA-A6805A63397A}" uniqueName="11" name="EDITED BY Pengawas" queryTableFieldId="11"/>
    <tableColumn id="12" xr3:uid="{988AF053-05AF-4F51-B54E-D7B9D3D01AFD}" uniqueName="12" name="REJECTED BY Admin Kabupaten" queryTableFieldId="12"/>
    <tableColumn id="13" xr3:uid="{58744AB9-44D9-4295-9ED7-3ED00665479A}" uniqueName="13" name="Total" queryTableFieldId="13" dataDxfId="80">
      <calculatedColumnFormula>SUM(progress_assignment_fd68e454_ba45_4b85_8205_f3bf777ded24_10_Juli[[#This Row],[OPEN]:[REJECTED BY Admin Kabupaten]])</calculatedColumnFormula>
    </tableColumn>
    <tableColumn id="14" xr3:uid="{8B8A218E-A033-4C1E-9B37-462830A71182}" uniqueName="14" name="Not Draft + Open" queryTableFieldId="14" dataDxfId="79">
      <calculatedColumnFormula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calculatedColumnFormula>
    </tableColumn>
    <tableColumn id="15" xr3:uid="{49EBFFA7-1A86-4E4C-A3C7-E695D269385D}" uniqueName="15" name="Persentase" queryTableFieldId="15" dataCellStyle="Comma">
      <calculatedColumnFormula>progress_assignment_fd68e454_ba45_4b85_8205_f3bf777ded24_10_Juli[[#This Row],[Not Draft + Open]]/progress_assignment_fd68e454_ba45_4b85_8205_f3bf777ded24_10_Juli[[#This Row],[Total]]*100</calculatedColumnFormula>
    </tableColumn>
    <tableColumn id="16" xr3:uid="{0E7247C8-DB22-431D-A719-E75E0B58A2C1}" uniqueName="16" name="Delta" queryTableFieldId="16" dataDxfId="78">
      <calculatedColumnFormula>progress_assignment_fd68e454_ba45_4b85_8205_f3bf777ded24_10_Juli[[#This Row],[Persentase]]-progress_assignment_fd68e454_ba45_4b85_8205_f3bf777ded24_9_juli[[#This Row],[Persentase]]</calculatedColumnFormula>
    </tableColumn>
    <tableColumn id="17" xr3:uid="{2D4BDFAC-32DD-4EF1-A1B2-F2CE40EC8FDB}" uniqueName="17" name="Rank" queryTableFieldId="17" dataDxfId="77">
      <calculatedColumnFormula>RANK(progress_assignment_fd68e454_ba45_4b85_8205_f3bf777ded24_10_Juli[[#This Row],[Persentase]],progress_assignment_fd68e454_ba45_4b85_8205_f3bf777ded24_10_Juli[Persentase])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79466A4-BFC7-43B0-8186-EE0D9AE92471}" name="progress_assignment_fd68e454_ba45_4b85_8205_f3bf777ded24_11_Juli" displayName="progress_assignment_fd68e454_ba45_4b85_8205_f3bf777ded24_11_Juli" ref="A1:Q14" tableType="queryTable" totalsRowShown="0">
  <autoFilter ref="A1:Q14" xr:uid="{3535354B-82C1-4450-89EE-0D8E06D66F1F}"/>
  <sortState xmlns:xlrd2="http://schemas.microsoft.com/office/spreadsheetml/2017/richdata2" ref="A2:Q14">
    <sortCondition ref="A1:A14"/>
  </sortState>
  <tableColumns count="17">
    <tableColumn id="1" xr3:uid="{19F7BE9F-F222-47E8-9FD4-7E30D73A8C8C}" uniqueName="1" name="Wilayah" queryTableFieldId="1"/>
    <tableColumn id="2" xr3:uid="{06C80F03-F177-4D89-B338-DE1CD6F19BD6}" uniqueName="2" name="OPEN" queryTableFieldId="2"/>
    <tableColumn id="3" xr3:uid="{7AE62E06-495A-4791-AAEA-4451AB9A7D74}" uniqueName="3" name="SUBMITTED BY Pencacah" queryTableFieldId="3"/>
    <tableColumn id="4" xr3:uid="{F56C2860-F279-4589-9BD5-B69022B93160}" uniqueName="4" name="APPROVED BY Pengawas" queryTableFieldId="4"/>
    <tableColumn id="5" xr3:uid="{E903A48D-8D51-4A7C-8579-12A4C1582652}" uniqueName="5" name="DRAFT" queryTableFieldId="5"/>
    <tableColumn id="6" xr3:uid="{5961352F-C664-4C61-ADD4-79EB96FBEFE8}" uniqueName="6" name="REJECTED BY Pengawas" queryTableFieldId="6"/>
    <tableColumn id="7" xr3:uid="{2339DB40-E201-4314-9D2D-850A759DD680}" uniqueName="7" name="EDITED BY Admin Kabupaten" queryTableFieldId="7"/>
    <tableColumn id="8" xr3:uid="{A9071078-432B-4CBF-9710-CC4896B59DE0}" uniqueName="8" name="COMPLETED BY Admin Kabupaten" queryTableFieldId="8"/>
    <tableColumn id="9" xr3:uid="{3C5F2345-1124-4057-84C6-86A946D0344D}" uniqueName="9" name="REVOKED BY Pengawas" queryTableFieldId="9"/>
    <tableColumn id="10" xr3:uid="{55A049AF-2907-4A3C-86B3-94F913B79C7B}" uniqueName="10" name="SUBMITTED RESPONDENT" queryTableFieldId="10"/>
    <tableColumn id="11" xr3:uid="{3F372AD5-06D9-475C-9747-E31281D0C02E}" uniqueName="11" name="EDITED BY Pengawas" queryTableFieldId="11"/>
    <tableColumn id="12" xr3:uid="{5492B2D2-D3D7-41A3-BBCD-AE4B819F98D2}" uniqueName="12" name="REJECTED BY Admin Kabupaten" queryTableFieldId="12"/>
    <tableColumn id="13" xr3:uid="{151F54E7-FD18-4F43-8798-3C43E8C5CCAE}" uniqueName="13" name="Total" queryTableFieldId="13" dataDxfId="76">
      <calculatedColumnFormula>SUM(progress_assignment_fd68e454_ba45_4b85_8205_f3bf777ded24_11_Juli[[#This Row],[OPEN]:[REJECTED BY Admin Kabupaten]])</calculatedColumnFormula>
    </tableColumn>
    <tableColumn id="14" xr3:uid="{E9209B6D-7756-47C0-A0F1-46864DA91C29}" uniqueName="14" name="Not Draft + Open" queryTableFieldId="14" dataDxfId="75">
      <calculatedColumnFormula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calculatedColumnFormula>
    </tableColumn>
    <tableColumn id="15" xr3:uid="{3D3A1CB7-89EC-44A6-A003-DEBD52AC2E11}" uniqueName="15" name="Persentase" queryTableFieldId="15" dataCellStyle="Comma">
      <calculatedColumnFormula>progress_assignment_fd68e454_ba45_4b85_8205_f3bf777ded24_11_Juli[[#This Row],[Not Draft + Open]]/progress_assignment_fd68e454_ba45_4b85_8205_f3bf777ded24_11_Juli[[#This Row],[Total]]*100</calculatedColumnFormula>
    </tableColumn>
    <tableColumn id="16" xr3:uid="{4ADC1F1B-6AC1-4715-849C-4CFFE173CF4F}" uniqueName="16" name="Delta" queryTableFieldId="16" dataDxfId="74">
      <calculatedColumnFormula>progress_assignment_fd68e454_ba45_4b85_8205_f3bf777ded24_11_Juli[[#This Row],[Persentase]]-progress_assignment_fd68e454_ba45_4b85_8205_f3bf777ded24_10_Juli[[#This Row],[Persentase]]</calculatedColumnFormula>
    </tableColumn>
    <tableColumn id="17" xr3:uid="{29921218-8080-40BE-9250-5E76100CEAD2}" uniqueName="17" name="Rank" queryTableFieldId="17" dataDxfId="73">
      <calculatedColumnFormula>RANK(progress_assignment_fd68e454_ba45_4b85_8205_f3bf777ded24_11_Juli[[#This Row],[Persentase]],progress_assignment_fd68e454_ba45_4b85_8205_f3bf777ded24_11_Juli[Persentase])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6CA51E5-4B49-4E44-B569-2AA8E25C4497}" name="progress_assignment_fd68e454_ba45_4b85_8205_f3bf777ded24_12_juli" displayName="progress_assignment_fd68e454_ba45_4b85_8205_f3bf777ded24_12_juli" ref="A1:Q14" tableType="queryTable" totalsRowShown="0">
  <autoFilter ref="A1:Q14" xr:uid="{AA20D2CA-518C-4F20-B211-BB5BF1A8787E}"/>
  <sortState xmlns:xlrd2="http://schemas.microsoft.com/office/spreadsheetml/2017/richdata2" ref="A2:Q14">
    <sortCondition ref="A1:A14"/>
  </sortState>
  <tableColumns count="17">
    <tableColumn id="1" xr3:uid="{85B45E4C-BA8A-4EC7-BF08-B6155E573BB8}" uniqueName="1" name="Wilayah" queryTableFieldId="1"/>
    <tableColumn id="2" xr3:uid="{45F6A008-62A5-46E9-A397-F8E31230B8B9}" uniqueName="2" name="OPEN" queryTableFieldId="2"/>
    <tableColumn id="3" xr3:uid="{1FA89BB4-6473-4EA9-94C9-02080249D020}" uniqueName="3" name="APPROVED BY Pengawas" queryTableFieldId="3"/>
    <tableColumn id="4" xr3:uid="{71996999-BF0A-4886-BD1E-6332FA40E88C}" uniqueName="4" name="SUBMITTED BY Pencacah" queryTableFieldId="4"/>
    <tableColumn id="5" xr3:uid="{97AD6DA6-9099-458A-BE91-A7DBBB72C274}" uniqueName="5" name="DRAFT" queryTableFieldId="5"/>
    <tableColumn id="6" xr3:uid="{B45932E1-7EA7-4FFF-8F3E-903767DF13BF}" uniqueName="6" name="REJECTED BY Pengawas" queryTableFieldId="6"/>
    <tableColumn id="7" xr3:uid="{2C43765C-1620-4641-A833-1D635B68320A}" uniqueName="7" name="EDITED BY Admin Kabupaten" queryTableFieldId="7"/>
    <tableColumn id="8" xr3:uid="{60AB3628-F729-498D-A1DB-98DBEDD587FF}" uniqueName="8" name="COMPLETED BY Admin Kabupaten" queryTableFieldId="8"/>
    <tableColumn id="9" xr3:uid="{BB10CB23-6FF9-407D-A155-828DCD3CB553}" uniqueName="9" name="REVOKED BY Pengawas" queryTableFieldId="9"/>
    <tableColumn id="10" xr3:uid="{C2913869-D453-43F7-8AD0-44032363D1C2}" uniqueName="10" name="SUBMITTED RESPONDENT" queryTableFieldId="10"/>
    <tableColumn id="11" xr3:uid="{AAE09DF5-A321-44C8-9219-46735FCB2E56}" uniqueName="11" name="EDITED BY Pengawas" queryTableFieldId="11"/>
    <tableColumn id="12" xr3:uid="{200CBA17-D793-4788-A607-82510128B750}" uniqueName="12" name="REJECTED BY Admin Kabupaten" queryTableFieldId="12"/>
    <tableColumn id="13" xr3:uid="{3F28715A-41E6-4C2D-A19F-3DFFEFC6B3D9}" uniqueName="13" name="Total" queryTableFieldId="13" dataDxfId="72">
      <calculatedColumnFormula>SUM(progress_assignment_fd68e454_ba45_4b85_8205_f3bf777ded24_12_juli[[#This Row],[OPEN]:[REJECTED BY Admin Kabupaten]])</calculatedColumnFormula>
    </tableColumn>
    <tableColumn id="14" xr3:uid="{9BCFE941-F3EC-4318-8A8F-B7629C75B201}" uniqueName="14" name="Not Draft + Open" queryTableFieldId="14" dataDxfId="71">
      <calculatedColumnFormula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calculatedColumnFormula>
    </tableColumn>
    <tableColumn id="15" xr3:uid="{51B1F98F-2CF1-415A-92B8-CF09C5AA9C54}" uniqueName="15" name="Persentase" queryTableFieldId="15" dataCellStyle="Comma">
      <calculatedColumnFormula>progress_assignment_fd68e454_ba45_4b85_8205_f3bf777ded24_12_juli[[#This Row],[Not Draft + Open]]/progress_assignment_fd68e454_ba45_4b85_8205_f3bf777ded24_12_juli[[#This Row],[Total]]*100</calculatedColumnFormula>
    </tableColumn>
    <tableColumn id="16" xr3:uid="{3B9B6B84-C985-4645-8DA3-B69FAEFEFDF8}" uniqueName="16" name="Delta" queryTableFieldId="16" dataDxfId="70">
      <calculatedColumnFormula>progress_assignment_fd68e454_ba45_4b85_8205_f3bf777ded24_12_juli[[#This Row],[Persentase]]-progress_assignment_fd68e454_ba45_4b85_8205_f3bf777ded24_11_Juli[[#This Row],[Persentase]]</calculatedColumnFormula>
    </tableColumn>
    <tableColumn id="17" xr3:uid="{AD9ABE54-6291-4F76-A53D-1AC99781F68C}" uniqueName="17" name="Rank" queryTableFieldId="17" dataDxfId="69">
      <calculatedColumnFormula>RANK(progress_assignment_fd68e454_ba45_4b85_8205_f3bf777ded24_12_juli[[#This Row],[Persentase]],progress_assignment_fd68e454_ba45_4b85_8205_f3bf777ded24_12_juli[Persentase])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542EEC-8B7B-4D7D-ADF4-1003A78FD8A2}" name="progress_assignment_fd68e454_ba45_4b85_8205_f3bf777ded24_13_juli" displayName="progress_assignment_fd68e454_ba45_4b85_8205_f3bf777ded24_13_juli" ref="A1:R14" tableType="queryTable" totalsRowShown="0">
  <autoFilter ref="A1:R14" xr:uid="{A72F5AED-8521-4B30-BC4B-2CD72CE37EF3}"/>
  <sortState xmlns:xlrd2="http://schemas.microsoft.com/office/spreadsheetml/2017/richdata2" ref="A2:R14">
    <sortCondition ref="A1:A14"/>
  </sortState>
  <tableColumns count="18">
    <tableColumn id="1" xr3:uid="{B0CCD0A3-677E-4FC1-B975-47B23441A4FF}" uniqueName="1" name="Wilayah" queryTableFieldId="1"/>
    <tableColumn id="2" xr3:uid="{F09899A8-305F-4238-848C-0E190EEDF01A}" uniqueName="2" name="OPEN" queryTableFieldId="2"/>
    <tableColumn id="3" xr3:uid="{A3217436-1C92-4AA1-9CFA-053F243D7CA4}" uniqueName="3" name="APPROVED BY Pengawas" queryTableFieldId="3"/>
    <tableColumn id="4" xr3:uid="{6F7EE8E3-AEE9-4003-B2EF-DF8E63C92715}" uniqueName="4" name="SUBMITTED BY Pencacah" queryTableFieldId="4"/>
    <tableColumn id="5" xr3:uid="{A4BC6398-0363-4BD3-ACC9-31EEC437D05C}" uniqueName="5" name="DRAFT" queryTableFieldId="5"/>
    <tableColumn id="6" xr3:uid="{F6D436A2-413F-437C-AD56-E97654FCA057}" uniqueName="6" name="REJECTED BY Pengawas" queryTableFieldId="6"/>
    <tableColumn id="7" xr3:uid="{018A0A73-52D0-4759-9557-9D6C40D7CA3D}" uniqueName="7" name="EDITED BY Admin Kabupaten" queryTableFieldId="7"/>
    <tableColumn id="8" xr3:uid="{E12B3923-B56C-4238-96A9-93FAA386599C}" uniqueName="8" name="COMPLETED BY Admin Kabupaten" queryTableFieldId="8"/>
    <tableColumn id="9" xr3:uid="{CA55004E-D85B-4A9E-BB96-E57EE6628178}" uniqueName="9" name="REVOKED BY Pengawas" queryTableFieldId="9"/>
    <tableColumn id="10" xr3:uid="{85552C11-B5FE-4F19-A815-A6571381A997}" uniqueName="10" name="SUBMITTED RESPONDENT" queryTableFieldId="10"/>
    <tableColumn id="11" xr3:uid="{F4E59CE9-0FEF-49CB-AC0F-BB6E66BCD4BE}" uniqueName="11" name="REVOKED BY Admin Kabupaten" queryTableFieldId="11"/>
    <tableColumn id="12" xr3:uid="{EC5D4596-F019-42B9-8953-800A2F6A90E6}" uniqueName="12" name="REJECTED BY Admin Kabupaten" queryTableFieldId="12"/>
    <tableColumn id="13" xr3:uid="{02025D3B-CFA1-4BE9-844C-794DF90E035C}" uniqueName="13" name="EDITED BY Pengawas" queryTableFieldId="13"/>
    <tableColumn id="14" xr3:uid="{6ADFC5AF-DBC4-4138-963E-28A5117C42C8}" uniqueName="14" name="Total" queryTableFieldId="14" dataDxfId="68">
      <calculatedColumnFormula>SUM(progress_assignment_fd68e454_ba45_4b85_8205_f3bf777ded24_13_juli[[#This Row],[OPEN]:[EDITED BY Pengawas]])</calculatedColumnFormula>
    </tableColumn>
    <tableColumn id="15" xr3:uid="{7D8D9E87-43F8-4656-9096-231F3AE6C773}" uniqueName="15" name="Not Draft + Open" queryTableFieldId="15" dataDxfId="67">
      <calculatedColumnFormula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calculatedColumnFormula>
    </tableColumn>
    <tableColumn id="16" xr3:uid="{62E5051D-C20B-42BF-B33D-F84E3427102D}" uniqueName="16" name="Persentase" queryTableFieldId="16" dataCellStyle="Comma">
      <calculatedColumnFormula>progress_assignment_fd68e454_ba45_4b85_8205_f3bf777ded24_13_juli[[#This Row],[Not Draft + Open]]/progress_assignment_fd68e454_ba45_4b85_8205_f3bf777ded24_13_juli[[#This Row],[Total]]*100</calculatedColumnFormula>
    </tableColumn>
    <tableColumn id="17" xr3:uid="{B6839E0E-6CCD-49BA-9427-692948348007}" uniqueName="17" name="Delta" queryTableFieldId="17" dataDxfId="66">
      <calculatedColumnFormula>progress_assignment_fd68e454_ba45_4b85_8205_f3bf777ded24_13_juli[[#This Row],[Persentase]]-progress_assignment_fd68e454_ba45_4b85_8205_f3bf777ded24_12_juli[[#This Row],[Persentase]]</calculatedColumnFormula>
    </tableColumn>
    <tableColumn id="18" xr3:uid="{DFBD52F5-E3EA-45E8-8D41-6E33A4C868BB}" uniqueName="18" name="Rank" queryTableFieldId="18" dataDxfId="65">
      <calculatedColumnFormula>RANK(progress_assignment_fd68e454_ba45_4b85_8205_f3bf777ded24_13_juli[[#This Row],[Persentase]],progress_assignment_fd68e454_ba45_4b85_8205_f3bf777ded24_13_juli[Persentase])</calculatedColumnFormula>
    </tableColumn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96A7EB-0B8D-4589-A0F9-7D8877BD12A3}" name="progress_assignment_fd68e454_ba45_4b85_8205_f3bf777ded24_14_juli" displayName="progress_assignment_fd68e454_ba45_4b85_8205_f3bf777ded24_14_juli" ref="A1:R14" tableType="queryTable" totalsRowShown="0">
  <autoFilter ref="A1:R14" xr:uid="{62BFE5A1-9CCA-41C9-BFC1-291FDB4EE4B7}"/>
  <sortState xmlns:xlrd2="http://schemas.microsoft.com/office/spreadsheetml/2017/richdata2" ref="A2:R14">
    <sortCondition ref="A1:A14"/>
  </sortState>
  <tableColumns count="18">
    <tableColumn id="1" xr3:uid="{9ABC5A9F-BE8C-44B2-959D-79256A358562}" uniqueName="1" name="Wilayah" queryTableFieldId="1"/>
    <tableColumn id="2" xr3:uid="{50515A5A-55CF-4794-B099-431A7B5E5FF0}" uniqueName="2" name="OPEN" queryTableFieldId="2"/>
    <tableColumn id="3" xr3:uid="{AA98EB37-0EA8-4F9A-BA52-F85412B7C7F4}" uniqueName="3" name="APPROVED BY Pengawas" queryTableFieldId="3"/>
    <tableColumn id="4" xr3:uid="{BC86DAED-71B9-45EB-80BF-8374C65F23F2}" uniqueName="4" name="SUBMITTED BY Pencacah" queryTableFieldId="4"/>
    <tableColumn id="5" xr3:uid="{DCA4353A-6962-4377-BBC5-9C1D256B72FA}" uniqueName="5" name="DRAFT" queryTableFieldId="5"/>
    <tableColumn id="6" xr3:uid="{093130B1-76A8-4732-A00C-1775272CA94B}" uniqueName="6" name="REJECTED BY Pengawas" queryTableFieldId="6"/>
    <tableColumn id="7" xr3:uid="{F2D2EE14-972A-4C23-A27D-CE6D8648FE2C}" uniqueName="7" name="EDITED BY Admin Kabupaten" queryTableFieldId="7"/>
    <tableColumn id="8" xr3:uid="{C13869A4-B9F6-4F4A-A68C-890002A3E5FB}" uniqueName="8" name="COMPLETED BY Admin Kabupaten" queryTableFieldId="8"/>
    <tableColumn id="9" xr3:uid="{27414B2B-601A-467E-B6F6-C126838BFB44}" uniqueName="9" name="REVOKED BY Pengawas" queryTableFieldId="9"/>
    <tableColumn id="10" xr3:uid="{BB9A8B30-DF80-493E-A330-2342C14394ED}" uniqueName="10" name="SUBMITTED RESPONDENT" queryTableFieldId="10"/>
    <tableColumn id="11" xr3:uid="{2EA32042-D409-4590-9A3E-DBD66ECAD919}" uniqueName="11" name="REVOKED BY Admin Kabupaten" queryTableFieldId="11"/>
    <tableColumn id="12" xr3:uid="{D6026A8C-B1E2-4DF8-AB6C-34C9722DD995}" uniqueName="12" name="REJECTED BY Admin Kabupaten" queryTableFieldId="12"/>
    <tableColumn id="13" xr3:uid="{FCF8F3EE-4C32-4BF8-B606-AF89A29CB6D6}" uniqueName="13" name="EDITED BY Pengawas" queryTableFieldId="13"/>
    <tableColumn id="14" xr3:uid="{F37751E8-4910-4961-8E41-74E5458BB5A8}" uniqueName="14" name="Total" queryTableFieldId="14" dataDxfId="64">
      <calculatedColumnFormula>SUM(progress_assignment_fd68e454_ba45_4b85_8205_f3bf777ded24_14_juli[[#This Row],[OPEN]:[EDITED BY Pengawas]])</calculatedColumnFormula>
    </tableColumn>
    <tableColumn id="15" xr3:uid="{375912DF-1166-4922-807A-839FEF36181D}" uniqueName="15" name="Not Draft + Open" queryTableFieldId="15" dataDxfId="63">
      <calculatedColumnFormula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calculatedColumnFormula>
    </tableColumn>
    <tableColumn id="16" xr3:uid="{636B4B52-80E3-42B8-A70F-BA108EA8807A}" uniqueName="16" name="Persentase" queryTableFieldId="16" dataCellStyle="Comma">
      <calculatedColumnFormula>progress_assignment_fd68e454_ba45_4b85_8205_f3bf777ded24_14_juli[[#This Row],[Not Draft + Open]]/progress_assignment_fd68e454_ba45_4b85_8205_f3bf777ded24_14_juli[[#This Row],[Total]]*100</calculatedColumnFormula>
    </tableColumn>
    <tableColumn id="17" xr3:uid="{F36DF40C-5856-4E64-B072-20F4661903A3}" uniqueName="17" name="Delta" queryTableFieldId="17" dataDxfId="62">
      <calculatedColumnFormula>progress_assignment_fd68e454_ba45_4b85_8205_f3bf777ded24_14_juli[[#This Row],[Persentase]]-progress_assignment_fd68e454_ba45_4b85_8205_f3bf777ded24_13_juli[[#This Row],[Persentase]]</calculatedColumnFormula>
    </tableColumn>
    <tableColumn id="18" xr3:uid="{5E8E8EDD-A89B-4A2B-B1BD-1C34DFC8F5DC}" uniqueName="18" name="Rank" queryTableFieldId="18" dataDxfId="61">
      <calculatedColumnFormula>RANK(progress_assignment_fd68e454_ba45_4b85_8205_f3bf777ded24_14_juli[[#This Row],[Persentase]],progress_assignment_fd68e454_ba45_4b85_8205_f3bf777ded24_14_juli[Persentase])</calculatedColumnFormula>
    </tableColumn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C706E9D-21C4-4FC4-BC0E-83782CAF4B83}" name="progress_assignment_fd68e454_ba45_4b85_8205_f3bf777ded24__5" displayName="progress_assignment_fd68e454_ba45_4b85_8205_f3bf777ded24__5" ref="A1:R14" tableType="queryTable" totalsRowShown="0">
  <autoFilter ref="A1:R14" xr:uid="{94F18956-EE5F-4427-AD92-E6CC6D86DF98}"/>
  <sortState xmlns:xlrd2="http://schemas.microsoft.com/office/spreadsheetml/2017/richdata2" ref="A2:R14">
    <sortCondition ref="A1:A14"/>
  </sortState>
  <tableColumns count="18">
    <tableColumn id="1" xr3:uid="{730A970D-9394-46D1-B970-B84E60CEC351}" uniqueName="1" name="Wilayah" queryTableFieldId="1"/>
    <tableColumn id="2" xr3:uid="{E884D6E1-7D51-458F-B3AA-A0C547573252}" uniqueName="2" name="OPEN" queryTableFieldId="2"/>
    <tableColumn id="3" xr3:uid="{4C8DFFC8-0D10-4BDE-A594-6BD8B079E52D}" uniqueName="3" name="APPROVED BY Pengawas" queryTableFieldId="3"/>
    <tableColumn id="4" xr3:uid="{3069D022-72AF-47D5-B7BD-37BABBD3D224}" uniqueName="4" name="SUBMITTED BY Pencacah" queryTableFieldId="4"/>
    <tableColumn id="5" xr3:uid="{6EA9EFEB-0608-4235-8659-1B5D7D014767}" uniqueName="5" name="DRAFT" queryTableFieldId="5"/>
    <tableColumn id="6" xr3:uid="{268E3C78-B378-46BB-8E77-208373F64D39}" uniqueName="6" name="COMPLETED BY Admin Kabupaten" queryTableFieldId="6"/>
    <tableColumn id="7" xr3:uid="{1034CA75-1A9B-4DEE-B3F9-BEF88CF5432A}" uniqueName="7" name="EDITED BY Admin Kabupaten" queryTableFieldId="7"/>
    <tableColumn id="8" xr3:uid="{44DF88B9-2A77-4381-B4DD-F9ECC3E84291}" uniqueName="8" name="REJECTED BY Pengawas" queryTableFieldId="8"/>
    <tableColumn id="9" xr3:uid="{59FD1E74-AE49-4B18-9DAE-FAAAE2BB5396}" uniqueName="9" name="REVOKED BY Pengawas" queryTableFieldId="9"/>
    <tableColumn id="10" xr3:uid="{B0EEAF2C-3108-4386-9CA4-E88E5509BB6A}" uniqueName="10" name="SUBMITTED RESPONDENT" queryTableFieldId="10"/>
    <tableColumn id="11" xr3:uid="{56460596-3C24-4875-8CFE-9C6BAED442C8}" uniqueName="11" name="REVOKED BY Admin Kabupaten" queryTableFieldId="11"/>
    <tableColumn id="12" xr3:uid="{DE336990-6DE9-4B87-9E26-792A2FB41ACE}" uniqueName="12" name="REJECTED BY Admin Kabupaten" queryTableFieldId="12"/>
    <tableColumn id="13" xr3:uid="{CE54E998-FC4E-4CDB-A51F-3A88BABA9FD1}" uniqueName="13" name="EDITED BY Pengawas" queryTableFieldId="13"/>
    <tableColumn id="14" xr3:uid="{5341650E-15A8-433D-8281-6E984D311335}" uniqueName="14" name="Total" queryTableFieldId="14" dataDxfId="60">
      <calculatedColumnFormula>SUM(progress_assignment_fd68e454_ba45_4b85_8205_f3bf777ded24__5[[#This Row],[OPEN]:[EDITED BY Pengawas]])</calculatedColumnFormula>
    </tableColumn>
    <tableColumn id="15" xr3:uid="{458553E9-3A64-42E7-9438-40CC782D4E6B}" uniqueName="15" name="Not Draft + Open" queryTableFieldId="15" dataDxfId="59">
      <calculatedColumnFormula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calculatedColumnFormula>
    </tableColumn>
    <tableColumn id="16" xr3:uid="{8310BFC9-9377-4453-A5F0-639E4870F6A6}" uniqueName="16" name="Persentase" queryTableFieldId="16" dataCellStyle="Comma">
      <calculatedColumnFormula>progress_assignment_fd68e454_ba45_4b85_8205_f3bf777ded24__5[[#This Row],[Not Draft + Open]]/progress_assignment_fd68e454_ba45_4b85_8205_f3bf777ded24__5[[#This Row],[Total]]*100</calculatedColumnFormula>
    </tableColumn>
    <tableColumn id="17" xr3:uid="{889A87A1-0F3A-48E5-AB88-F612366D4BC9}" uniqueName="17" name="Delta" queryTableFieldId="17" dataDxfId="58">
      <calculatedColumnFormula>progress_assignment_fd68e454_ba45_4b85_8205_f3bf777ded24__5[[#This Row],[Persentase]]-progress_assignment_fd68e454_ba45_4b85_8205_f3bf777ded24_14_juli[[#This Row],[Persentase]]</calculatedColumnFormula>
    </tableColumn>
    <tableColumn id="18" xr3:uid="{C4DFCF1D-E3DD-42E8-B6BA-1135CEAECC2C}" uniqueName="18" name="Rank" queryTableFieldId="18" dataDxfId="57">
      <calculatedColumnFormula>RANK(progress_assignment_fd68e454_ba45_4b85_8205_f3bf777ded24__5[[#This Row],[Persentase]],progress_assignment_fd68e454_ba45_4b85_8205_f3bf777ded24__5[Persentase])</calculatedColumnFormula>
    </tableColumn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89F40A1-3D1E-473C-81E5-69B3CDC68F3F}" name="progress_assignment_fd68e454_ba45_4b85_8205_f3bf777ded_16_juli" displayName="progress_assignment_fd68e454_ba45_4b85_8205_f3bf777ded_16_juli" ref="A1:R14" tableType="queryTable" totalsRowShown="0">
  <autoFilter ref="A1:R14" xr:uid="{4223E010-30E9-452F-A6FE-B8DFB50619D6}"/>
  <sortState xmlns:xlrd2="http://schemas.microsoft.com/office/spreadsheetml/2017/richdata2" ref="A2:R14">
    <sortCondition ref="A1:A14"/>
  </sortState>
  <tableColumns count="18">
    <tableColumn id="1" xr3:uid="{6398A5E5-347F-4E6F-B0E3-DD572913F913}" uniqueName="1" name="Wilayah" queryTableFieldId="1"/>
    <tableColumn id="2" xr3:uid="{D44E1EBE-20F4-4884-B40E-50825D78A9C5}" uniqueName="2" name="OPEN" queryTableFieldId="2"/>
    <tableColumn id="3" xr3:uid="{CAE4CB7E-D25C-43A2-875B-661097536F71}" uniqueName="3" name="APPROVED BY Pengawas" queryTableFieldId="3"/>
    <tableColumn id="4" xr3:uid="{8F157828-695E-47DB-9F4B-A92BD12313B4}" uniqueName="4" name="SUBMITTED BY Pencacah" queryTableFieldId="4"/>
    <tableColumn id="5" xr3:uid="{AF00C829-8E2C-4E07-B043-36FCF4650FFF}" uniqueName="5" name="DRAFT" queryTableFieldId="5"/>
    <tableColumn id="6" xr3:uid="{C0FC1804-FBE5-4F61-B095-A03792343F5D}" uniqueName="6" name="COMPLETED BY Admin Kabupaten" queryTableFieldId="6"/>
    <tableColumn id="7" xr3:uid="{9EFDAD09-55A0-4744-B85F-021BE7DD2A19}" uniqueName="7" name="EDITED BY Admin Kabupaten" queryTableFieldId="7"/>
    <tableColumn id="8" xr3:uid="{7D514BD4-B9C8-475F-A63C-96D67A445327}" uniqueName="8" name="REJECTED BY Pengawas" queryTableFieldId="8"/>
    <tableColumn id="9" xr3:uid="{22268EA0-06E3-4A41-A5A7-C777D849F1AB}" uniqueName="9" name="REVOKED BY Pengawas" queryTableFieldId="9"/>
    <tableColumn id="10" xr3:uid="{BD1CD9EC-2DBF-4DA7-875A-68860DD68413}" uniqueName="10" name="SUBMITTED RESPONDENT" queryTableFieldId="10"/>
    <tableColumn id="11" xr3:uid="{8E4659F7-BE77-4990-8F91-1FF968071D07}" uniqueName="11" name="REVOKED BY Admin Kabupaten" queryTableFieldId="11"/>
    <tableColumn id="12" xr3:uid="{941C17CF-26EC-4617-85F2-691A95368A02}" uniqueName="12" name="REJECTED BY Admin Kabupaten" queryTableFieldId="12"/>
    <tableColumn id="13" xr3:uid="{A8ECF293-F66B-4016-9BD3-5BC4363CB34C}" uniqueName="13" name="EDITED BY Pengawas" queryTableFieldId="13"/>
    <tableColumn id="14" xr3:uid="{F1103F6E-2FEC-4902-BD52-DE44E55F1237}" uniqueName="14" name="Total" queryTableFieldId="14" dataDxfId="56">
      <calculatedColumnFormula>SUM(progress_assignment_fd68e454_ba45_4b85_8205_f3bf777ded_16_juli[[#This Row],[OPEN]:[EDITED BY Pengawas]])</calculatedColumnFormula>
    </tableColumn>
    <tableColumn id="15" xr3:uid="{BE6D0187-1569-4278-A0AB-8EA73D847E37}" uniqueName="15" name="Not Draft + Open" queryTableFieldId="15" dataDxfId="55">
      <calculatedColumnFormula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calculatedColumnFormula>
    </tableColumn>
    <tableColumn id="16" xr3:uid="{0CD3ECE3-02D8-48CB-952C-3DB455EE5BE5}" uniqueName="16" name="Persentase" queryTableFieldId="16" dataCellStyle="Comma">
      <calculatedColumnFormula>progress_assignment_fd68e454_ba45_4b85_8205_f3bf777ded_16_juli[[#This Row],[Not Draft + Open]]/progress_assignment_fd68e454_ba45_4b85_8205_f3bf777ded_16_juli[[#This Row],[Total]]*100</calculatedColumnFormula>
    </tableColumn>
    <tableColumn id="17" xr3:uid="{4AECE00A-DC30-422D-9F6A-A9BCCB3D142C}" uniqueName="17" name="Delta" queryTableFieldId="17" dataDxfId="54">
      <calculatedColumnFormula>progress_assignment_fd68e454_ba45_4b85_8205_f3bf777ded_16_juli[[#This Row],[Persentase]]-progress_assignment_fd68e454_ba45_4b85_8205_f3bf777ded24__5[[#This Row],[Persentase]]</calculatedColumnFormula>
    </tableColumn>
    <tableColumn id="18" xr3:uid="{A86D110B-47B9-4440-BFE0-75544BDE01EA}" uniqueName="18" name="Rank" queryTableFieldId="18" dataDxfId="53">
      <calculatedColumnFormula>RANK(progress_assignment_fd68e454_ba45_4b85_8205_f3bf777ded_16_juli[[#This Row],[Persentase]],progress_assignment_fd68e454_ba45_4b85_8205_f3bf777ded_16_juli[Persentase])</calculatedColumnFormula>
    </tableColumn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FFA369-5233-4550-ACF6-ABEC27AF6EC4}" name="progress_assignment_fd68e454_ba45_4b85_8205_f3bf777ded24_17_juli" displayName="progress_assignment_fd68e454_ba45_4b85_8205_f3bf777ded24_17_juli" ref="A1:R14" tableType="queryTable" totalsRowShown="0">
  <autoFilter ref="A1:R14" xr:uid="{EF3ADECB-02E0-45F9-BBD3-893D5EA0D89F}"/>
  <sortState xmlns:xlrd2="http://schemas.microsoft.com/office/spreadsheetml/2017/richdata2" ref="A2:R14">
    <sortCondition ref="A1:A14"/>
  </sortState>
  <tableColumns count="18">
    <tableColumn id="1" xr3:uid="{6ED60CA2-C182-49C2-9BC0-6D2DBB3004D0}" uniqueName="1" name="Wilayah" queryTableFieldId="1"/>
    <tableColumn id="2" xr3:uid="{4A99E0E6-2C40-4347-BC4C-CD143594B491}" uniqueName="2" name="OPEN" queryTableFieldId="2"/>
    <tableColumn id="3" xr3:uid="{56C56B06-F6B0-4F17-8F3C-1142EF09A551}" uniqueName="3" name="APPROVED BY Pengawas" queryTableFieldId="3"/>
    <tableColumn id="4" xr3:uid="{EB685444-7868-42D7-9B5E-E48AE47442AD}" uniqueName="4" name="SUBMITTED BY Pencacah" queryTableFieldId="4"/>
    <tableColumn id="5" xr3:uid="{515E41E7-8F6A-4352-8130-6830C7F76A3F}" uniqueName="5" name="DRAFT" queryTableFieldId="5"/>
    <tableColumn id="6" xr3:uid="{D242B2DA-3D24-4A95-957B-E9F96A5A380A}" uniqueName="6" name="COMPLETED BY Admin Kabupaten" queryTableFieldId="6"/>
    <tableColumn id="7" xr3:uid="{96099EE9-BDAE-417C-8267-5643AD3DDC94}" uniqueName="7" name="EDITED BY Admin Kabupaten" queryTableFieldId="7"/>
    <tableColumn id="8" xr3:uid="{234F8A8B-F4FA-4C90-83F1-1B2854FC4674}" uniqueName="8" name="REJECTED BY Pengawas" queryTableFieldId="8"/>
    <tableColumn id="9" xr3:uid="{F87B85C4-5AEC-4269-89AE-00E8F51A6A29}" uniqueName="9" name="REVOKED BY Pengawas" queryTableFieldId="9"/>
    <tableColumn id="10" xr3:uid="{51946BD9-A23F-4095-B90B-E9D878AFF850}" uniqueName="10" name="SUBMITTED RESPONDENT" queryTableFieldId="10"/>
    <tableColumn id="11" xr3:uid="{850A5750-3B57-46C1-95E3-E33089090E02}" uniqueName="11" name="REVOKED BY Admin Kabupaten" queryTableFieldId="11"/>
    <tableColumn id="12" xr3:uid="{FF098330-69D5-4848-BD9D-F8F29135F156}" uniqueName="12" name="REJECTED BY Admin Kabupaten" queryTableFieldId="12"/>
    <tableColumn id="13" xr3:uid="{993B3305-9310-4A49-98AD-0905A7C322A8}" uniqueName="13" name="EDITED BY Pengawas" queryTableFieldId="13"/>
    <tableColumn id="14" xr3:uid="{40A2FC41-AE60-4838-BD10-ACB6F9918885}" uniqueName="14" name="Total" queryTableFieldId="14" dataDxfId="52">
      <calculatedColumnFormula>SUM(progress_assignment_fd68e454_ba45_4b85_8205_f3bf777ded24_17_juli[[#This Row],[OPEN]:[EDITED BY Pengawas]])</calculatedColumnFormula>
    </tableColumn>
    <tableColumn id="15" xr3:uid="{BA1A3ED2-763B-4B67-8B00-F2F445922AFD}" uniqueName="15" name="Not Draft + Open" queryTableFieldId="15" dataDxfId="51">
      <calculatedColumnFormula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calculatedColumnFormula>
    </tableColumn>
    <tableColumn id="16" xr3:uid="{DA7E74CB-7EF5-48B5-A24D-03AB4B7BFD1E}" uniqueName="16" name="Persentase" queryTableFieldId="16" dataCellStyle="Comma">
      <calculatedColumnFormula>progress_assignment_fd68e454_ba45_4b85_8205_f3bf777ded24_17_juli[[#This Row],[Not Draft + Open]]/progress_assignment_fd68e454_ba45_4b85_8205_f3bf777ded24_17_juli[[#This Row],[Total]]*100</calculatedColumnFormula>
    </tableColumn>
    <tableColumn id="17" xr3:uid="{F5E1DAD6-4820-4530-B1BD-7EEC3B93E423}" uniqueName="17" name="Delta" queryTableFieldId="17" dataDxfId="50">
      <calculatedColumnFormula>progress_assignment_fd68e454_ba45_4b85_8205_f3bf777ded24_17_juli[[#This Row],[Persentase]]-progress_assignment_fd68e454_ba45_4b85_8205_f3bf777ded_16_juli[[#This Row],[Persentase]]</calculatedColumnFormula>
    </tableColumn>
    <tableColumn id="18" xr3:uid="{B829BD74-14BC-4327-B0CF-02173E7860DA}" uniqueName="18" name="Rank" queryTableFieldId="18" dataDxfId="49">
      <calculatedColumnFormula>RANK(progress_assignment_fd68e454_ba45_4b85_8205_f3bf777ded24_17_juli[[#This Row],[Persentase]],progress_assignment_fd68e454_ba45_4b85_8205_f3bf777ded24_17_juli[Persentase])</calculatedColumnFormula>
    </tableColumn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EAA883A-7CF7-4679-B81A-B5BC4CC21B6B}" name="progress_assignment_fd68e454_ba45_4b85_8205_f3bf777ded24_18_Juli" displayName="progress_assignment_fd68e454_ba45_4b85_8205_f3bf777ded24_18_Juli" ref="A1:U14" tableType="queryTable" totalsRowShown="0">
  <autoFilter ref="A1:U14" xr:uid="{4BE7E5E7-D291-41A3-BA96-578F9CF4938E}"/>
  <sortState xmlns:xlrd2="http://schemas.microsoft.com/office/spreadsheetml/2017/richdata2" ref="A2:R14">
    <sortCondition ref="A1:A14"/>
  </sortState>
  <tableColumns count="21">
    <tableColumn id="1" xr3:uid="{5BE1B1FC-2347-45BE-BAFA-996B38150947}" uniqueName="1" name="Wilayah" queryTableFieldId="1"/>
    <tableColumn id="2" xr3:uid="{6DA3EA82-6A9E-4BFF-99AE-5F343D52A3BD}" uniqueName="2" name="OPEN" queryTableFieldId="2"/>
    <tableColumn id="3" xr3:uid="{B815161D-B725-42BD-A858-49C29563B8C8}" uniqueName="3" name="APPROVED BY Pengawas" queryTableFieldId="3"/>
    <tableColumn id="4" xr3:uid="{49F21B34-74FA-4C1C-9F1C-B91C370165B5}" uniqueName="4" name="SUBMITTED BY Pencacah" queryTableFieldId="4"/>
    <tableColumn id="5" xr3:uid="{75296D52-B479-4D06-AA3C-26463333F889}" uniqueName="5" name="DRAFT" queryTableFieldId="5"/>
    <tableColumn id="6" xr3:uid="{1B3A6B6A-3036-4168-981C-5BB941A72717}" uniqueName="6" name="COMPLETED BY Admin Kabupaten" queryTableFieldId="6"/>
    <tableColumn id="7" xr3:uid="{C9C25091-0464-455B-858B-EA92B66E783E}" uniqueName="7" name="REJECTED BY Pengawas" queryTableFieldId="7"/>
    <tableColumn id="8" xr3:uid="{2C22B4E9-87FB-417A-85F6-2FCA23975C16}" uniqueName="8" name="EDITED BY Admin Kabupaten" queryTableFieldId="8"/>
    <tableColumn id="9" xr3:uid="{F0E6F8CF-335B-45A5-9BB6-68983012C92E}" uniqueName="9" name="REVOKED BY Pengawas" queryTableFieldId="9"/>
    <tableColumn id="10" xr3:uid="{B9C1A45A-A75E-464A-A743-64A6FE5BF007}" uniqueName="10" name="SUBMITTED RESPONDENT" queryTableFieldId="10"/>
    <tableColumn id="11" xr3:uid="{E8E03F09-E295-4747-B46C-0B53F0F934E4}" uniqueName="11" name="REVOKED BY Admin Kabupaten" queryTableFieldId="11"/>
    <tableColumn id="12" xr3:uid="{DB166F1C-B739-4D51-A4F1-0ED6E857E1D9}" uniqueName="12" name="REJECTED BY Admin Kabupaten" queryTableFieldId="12"/>
    <tableColumn id="13" xr3:uid="{EA73A217-4113-4D57-B4A7-612806E340D6}" uniqueName="13" name="EDITED BY Pengawas" queryTableFieldId="13"/>
    <tableColumn id="14" xr3:uid="{48FEC834-CFFA-4D87-B754-E8716C587519}" uniqueName="14" name="Total" queryTableFieldId="14" dataDxfId="48">
      <calculatedColumnFormula>SUM(progress_assignment_fd68e454_ba45_4b85_8205_f3bf777ded24_18_Juli[[#This Row],[OPEN]:[EDITED BY Pengawas]])</calculatedColumnFormula>
    </tableColumn>
    <tableColumn id="15" xr3:uid="{19D53267-CF23-42A4-8DB5-C31BB395A806}" uniqueName="15" name="Not Draft + Open" queryTableFieldId="15" dataDxfId="47">
      <calculatedColumnFormula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calculatedColumnFormula>
    </tableColumn>
    <tableColumn id="16" xr3:uid="{9C1874EA-71E0-47F5-B8CC-05E21D260736}" uniqueName="16" name="Persentase" queryTableFieldId="16" dataCellStyle="Comma">
      <calculatedColumnFormula>progress_assignment_fd68e454_ba45_4b85_8205_f3bf777ded24_18_Juli[[#This Row],[Not Draft + Open]]/progress_assignment_fd68e454_ba45_4b85_8205_f3bf777ded24_18_Juli[[#This Row],[Total]]*100</calculatedColumnFormula>
    </tableColumn>
    <tableColumn id="17" xr3:uid="{42FF46B2-C737-48B9-B4F8-ABB570F0131F}" uniqueName="17" name="Delta" queryTableFieldId="17" dataDxfId="46">
      <calculatedColumnFormula>progress_assignment_fd68e454_ba45_4b85_8205_f3bf777ded24_18_Juli[[#This Row],[Persentase]]-progress_assignment_fd68e454_ba45_4b85_8205_f3bf777ded24_17_juli[[#This Row],[Persentase]]</calculatedColumnFormula>
    </tableColumn>
    <tableColumn id="18" xr3:uid="{A54DD4E1-8F8F-48BF-A7DF-B58C7796C759}" uniqueName="18" name="Rank" queryTableFieldId="18" dataDxfId="45">
      <calculatedColumnFormula>RANK(progress_assignment_fd68e454_ba45_4b85_8205_f3bf777ded24_18_Juli[[#This Row],[Persentase]],progress_assignment_fd68e454_ba45_4b85_8205_f3bf777ded24_18_Juli[Persentase])</calculatedColumnFormula>
    </tableColumn>
    <tableColumn id="19" xr3:uid="{A847824C-BF93-4D9A-822A-CB309A81496D}" uniqueName="19" name="selisih draft" queryTableFieldId="19" dataDxfId="44">
      <calculatedColumnFormula>progress_assignment_fd68e454_ba45_4b85_8205_f3bf777ded24_18_Juli[[#This Row],[DRAFT]]-progress_assignment_fd68e454_ba45_4b85_8205_f3bf777ded24_17_juli[[#This Row],[DRAFT]]</calculatedColumnFormula>
    </tableColumn>
    <tableColumn id="20" xr3:uid="{DD372581-3B7F-4357-AAF1-C47389285275}" uniqueName="20" name="selisih rejected" queryTableFieldId="20" dataDxfId="43">
      <calculatedColumnFormula>progress_assignment_fd68e454_ba45_4b85_8205_f3bf777ded24_18_Juli[[#This Row],[REJECTED BY Pengawas]]-progress_assignment_fd68e454_ba45_4b85_8205_f3bf777ded24_17_juli[[#This Row],[REJECTED BY Pengawas]]</calculatedColumnFormula>
    </tableColumn>
    <tableColumn id="21" xr3:uid="{5A108F54-6451-425E-94EC-6A0F0852B4AC}" uniqueName="21" name="selisih revoked" queryTableFieldId="21" dataDxfId="42">
      <calculatedColumnFormula>progress_assignment_fd68e454_ba45_4b85_8205_f3bf777ded24_18_Juli[[#This Row],[REVOKED BY Pengawas]]-progress_assignment_fd68e454_ba45_4b85_8205_f3bf777ded24_17_juli[[#This Row],[REVOKED BY Pengawas]]</calculatedColumnFormula>
    </tableColumn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2FF5CE9-EE83-4788-B428-0DCBEBDA0461}" name="progress_assignment_fd68e454_ba45_4b85_8205_f3bf777ded24__19" displayName="progress_assignment_fd68e454_ba45_4b85_8205_f3bf777ded24__19" ref="A1:R14" tableType="queryTable" totalsRowShown="0">
  <autoFilter ref="A1:R14" xr:uid="{BEFDD560-AD6B-4B70-A5E9-58BF41C26B5D}"/>
  <sortState xmlns:xlrd2="http://schemas.microsoft.com/office/spreadsheetml/2017/richdata2" ref="A2:R14">
    <sortCondition ref="A1:A14"/>
  </sortState>
  <tableColumns count="18">
    <tableColumn id="1" xr3:uid="{463F4567-7EC6-4F23-8CC4-C12F7E214488}" uniqueName="1" name="Wilayah" queryTableFieldId="1"/>
    <tableColumn id="2" xr3:uid="{3E95ED8E-704C-4F3E-A323-9EE134E0ADE3}" uniqueName="2" name="OPEN" queryTableFieldId="2"/>
    <tableColumn id="3" xr3:uid="{D9785853-2B99-4E3A-B479-7291BEB50922}" uniqueName="3" name="APPROVED BY Pengawas" queryTableFieldId="3"/>
    <tableColumn id="4" xr3:uid="{CF8ADC44-9D3D-41D2-982E-C98235C03B8A}" uniqueName="4" name="SUBMITTED BY Pencacah" queryTableFieldId="4"/>
    <tableColumn id="5" xr3:uid="{066E9DC0-3400-4777-9206-A13F832DFAF2}" uniqueName="5" name="DRAFT" queryTableFieldId="5"/>
    <tableColumn id="6" xr3:uid="{73C79F57-B064-4FE8-99EB-384B1D6D22B9}" uniqueName="6" name="COMPLETED BY Admin Kabupaten" queryTableFieldId="6"/>
    <tableColumn id="7" xr3:uid="{FFA873D5-AC47-46B8-B842-635FBDD4CCD1}" uniqueName="7" name="REJECTED BY Pengawas" queryTableFieldId="7"/>
    <tableColumn id="8" xr3:uid="{2D98BAEC-57DA-4864-9C46-98588DD69511}" uniqueName="8" name="EDITED BY Admin Kabupaten" queryTableFieldId="8"/>
    <tableColumn id="9" xr3:uid="{0923C084-3CD9-4558-8E72-29F7CD64995D}" uniqueName="9" name="REVOKED BY Pengawas" queryTableFieldId="9"/>
    <tableColumn id="10" xr3:uid="{0767A0CC-BCFC-403C-BB03-CA7FEC2A4133}" uniqueName="10" name="SUBMITTED RESPONDENT" queryTableFieldId="10"/>
    <tableColumn id="11" xr3:uid="{B16DE1A2-1612-4F1F-ADC4-7F45137D3DCB}" uniqueName="11" name="REVOKED BY Admin Kabupaten" queryTableFieldId="11"/>
    <tableColumn id="12" xr3:uid="{A8EC989A-294E-43EB-B625-E50B931D2E27}" uniqueName="12" name="REJECTED BY Admin Kabupaten" queryTableFieldId="12"/>
    <tableColumn id="13" xr3:uid="{1D862BE2-3F5B-4BEC-A842-F1DDF9F2FEED}" uniqueName="13" name="EDITED BY Pengawas" queryTableFieldId="13"/>
    <tableColumn id="14" xr3:uid="{298AFDA4-4E84-4F06-90B1-2A539CF4E256}" uniqueName="14" name="Total" queryTableFieldId="14" dataDxfId="41">
      <calculatedColumnFormula>SUM(progress_assignment_fd68e454_ba45_4b85_8205_f3bf777ded24__19[[#This Row],[OPEN]:[EDITED BY Pengawas]])</calculatedColumnFormula>
    </tableColumn>
    <tableColumn id="15" xr3:uid="{7136E629-CD38-49A1-B70C-4CF3290F419C}" uniqueName="15" name="Not Draft + Open" queryTableFieldId="15" dataDxfId="40">
      <calculatedColumnFormula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calculatedColumnFormula>
    </tableColumn>
    <tableColumn id="16" xr3:uid="{B84E51F2-782F-4055-AA3A-B66BAC621C45}" uniqueName="16" name="Persentase" queryTableFieldId="16" dataCellStyle="Comma">
      <calculatedColumnFormula>progress_assignment_fd68e454_ba45_4b85_8205_f3bf777ded24__19[[#This Row],[Not Draft + Open]]/progress_assignment_fd68e454_ba45_4b85_8205_f3bf777ded24__19[[#This Row],[Total]]*100</calculatedColumnFormula>
    </tableColumn>
    <tableColumn id="17" xr3:uid="{0AC3E803-C236-409D-B1B7-1794C95F9B8F}" uniqueName="17" name="Delta" queryTableFieldId="17" dataDxfId="39">
      <calculatedColumnFormula>progress_assignment_fd68e454_ba45_4b85_8205_f3bf777ded24__19[[#This Row],[Persentase]]-progress_assignment_fd68e454_ba45_4b85_8205_f3bf777ded24_18_Juli[[#This Row],[Persentase]]</calculatedColumnFormula>
    </tableColumn>
    <tableColumn id="18" xr3:uid="{AB1131AE-6FB6-4918-A421-B1999AACCE76}" uniqueName="18" name="Rank" queryTableFieldId="18" dataDxfId="38">
      <calculatedColumnFormula>RANK(progress_assignment_fd68e454_ba45_4b85_8205_f3bf777ded24__19[[#This Row],[Persentase]],progress_assignment_fd68e454_ba45_4b85_8205_f3bf777ded24__19[Persentase])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94718F9-57E9-468B-876D-1ED2520EE0E0}" name="progress_assignment_fd68e454_ba45_4b85_8205_f3bf777ded24__6" displayName="progress_assignment_fd68e454_ba45_4b85_8205_f3bf777ded24__6" ref="A1:R14" tableType="queryTable" totalsRowShown="0">
  <autoFilter ref="A1:R14" xr:uid="{EB77F548-0723-435B-9988-27E3978E4561}"/>
  <sortState xmlns:xlrd2="http://schemas.microsoft.com/office/spreadsheetml/2017/richdata2" ref="A2:R14">
    <sortCondition ref="A1:A14"/>
  </sortState>
  <tableColumns count="18">
    <tableColumn id="1" xr3:uid="{A2092CE0-4A3E-4337-BA7B-F660828B4AEB}" uniqueName="1" name="Wilayah" queryTableFieldId="1"/>
    <tableColumn id="2" xr3:uid="{BBD0CCDA-F600-4E1B-B84D-8E62542A8ECA}" uniqueName="2" name="OPEN" queryTableFieldId="2"/>
    <tableColumn id="3" xr3:uid="{E38EF2C0-A3B0-4A68-8814-2C7C25932BE1}" uniqueName="3" name="APPROVED BY Pengawas" queryTableFieldId="3"/>
    <tableColumn id="4" xr3:uid="{A477B444-68D9-4A4E-893B-F6F17F71A7C2}" uniqueName="4" name="SUBMITTED BY Pencacah" queryTableFieldId="4"/>
    <tableColumn id="5" xr3:uid="{F3E1315F-8CEB-4D0A-BE03-5E1541A3E171}" uniqueName="5" name="DRAFT" queryTableFieldId="5"/>
    <tableColumn id="6" xr3:uid="{8A16A581-15D2-441E-B122-47849E13B18A}" uniqueName="6" name="COMPLETED BY Admin Kabupaten" queryTableFieldId="6"/>
    <tableColumn id="7" xr3:uid="{2FE490D9-812E-4BB2-8C16-4279067758A0}" uniqueName="7" name="REJECTED BY Pengawas" queryTableFieldId="7"/>
    <tableColumn id="8" xr3:uid="{F70AF5F8-59EC-4D92-B06F-0583F5099F26}" uniqueName="8" name="EDITED BY Admin Kabupaten" queryTableFieldId="8"/>
    <tableColumn id="9" xr3:uid="{CD622B2E-3B34-44E1-9AF9-DC8D0E5FBB1C}" uniqueName="9" name="REVOKED BY Pengawas" queryTableFieldId="9"/>
    <tableColumn id="10" xr3:uid="{30545DE8-4012-4D5F-B300-0D10BFCD0C78}" uniqueName="10" name="SUBMITTED RESPONDENT" queryTableFieldId="10"/>
    <tableColumn id="11" xr3:uid="{040EA57B-C11D-45FC-827F-3CDACD77DC77}" uniqueName="11" name="REVOKED BY Admin Kabupaten" queryTableFieldId="11"/>
    <tableColumn id="12" xr3:uid="{288AA26E-AD32-47C1-823A-07AE101A53FE}" uniqueName="12" name="REJECTED BY Admin Kabupaten" queryTableFieldId="12"/>
    <tableColumn id="13" xr3:uid="{F61B47EE-954A-4F6E-9EC4-69F36326378B}" uniqueName="13" name="EDITED BY Pengawas" queryTableFieldId="13"/>
    <tableColumn id="14" xr3:uid="{D3EA49F1-CDC3-495A-AD48-2E73FA77BFF0}" uniqueName="14" name="Total" queryTableFieldId="14" dataDxfId="37">
      <calculatedColumnFormula>SUM(progress_assignment_fd68e454_ba45_4b85_8205_f3bf777ded24__6[[#This Row],[OPEN]:[EDITED BY Pengawas]])</calculatedColumnFormula>
    </tableColumn>
    <tableColumn id="15" xr3:uid="{AE9AAEF1-BEED-4737-8015-EFEF62BFE731}" uniqueName="15" name="Not Draft + Open" queryTableFieldId="15" dataDxfId="36">
      <calculatedColumnFormula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calculatedColumnFormula>
    </tableColumn>
    <tableColumn id="16" xr3:uid="{B9EB0965-18FD-45F9-A519-BC43545197A2}" uniqueName="16" name="Persentase" queryTableFieldId="16" dataCellStyle="Comma">
      <calculatedColumnFormula>progress_assignment_fd68e454_ba45_4b85_8205_f3bf777ded24__6[[#This Row],[Not Draft + Open]]/progress_assignment_fd68e454_ba45_4b85_8205_f3bf777ded24__6[[#This Row],[Total]]*100</calculatedColumnFormula>
    </tableColumn>
    <tableColumn id="17" xr3:uid="{6F1DF71C-2F3C-4D94-9307-3A03C1662A23}" uniqueName="17" name="Delta" queryTableFieldId="17" dataDxfId="35">
      <calculatedColumnFormula>progress_assignment_fd68e454_ba45_4b85_8205_f3bf777ded24__6[[#This Row],[Persentase]]-progress_assignment_fd68e454_ba45_4b85_8205_f3bf777ded24__19[[#This Row],[Persentase]]</calculatedColumnFormula>
    </tableColumn>
    <tableColumn id="18" xr3:uid="{584CA408-12D2-413F-AAC1-A527E0E317F1}" uniqueName="18" name="Rank" queryTableFieldId="18" dataDxfId="34">
      <calculatedColumnFormula>RANK(progress_assignment_fd68e454_ba45_4b85_8205_f3bf777ded24__6[[#This Row],[Persentase]],progress_assignment_fd68e454_ba45_4b85_8205_f3bf777ded24__6[Persentase])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B558DB0-ECEA-4745-ABBE-FBF670BC1B77}" name="progress_assignment_fd68e454_ba45_4b85_8205_f3bf777ded24__20" displayName="progress_assignment_fd68e454_ba45_4b85_8205_f3bf777ded24__20" ref="A1:R14" tableType="queryTable" totalsRowShown="0">
  <autoFilter ref="A1:R14" xr:uid="{9E4CF99B-94CD-4EE8-990B-21FA0EB8DDAE}"/>
  <sortState xmlns:xlrd2="http://schemas.microsoft.com/office/spreadsheetml/2017/richdata2" ref="A2:R14">
    <sortCondition ref="A1:A14"/>
  </sortState>
  <tableColumns count="18">
    <tableColumn id="1" xr3:uid="{8C60C4B5-7093-46BD-81BD-CF0ECCBF7467}" uniqueName="1" name="Wilayah" queryTableFieldId="1"/>
    <tableColumn id="2" xr3:uid="{255A9D71-2F92-4764-B111-725CD37FCE6A}" uniqueName="2" name="OPEN" queryTableFieldId="2"/>
    <tableColumn id="3" xr3:uid="{FEAE0ABF-56A9-4165-A9D1-EB3E18627631}" uniqueName="3" name="APPROVED BY Pengawas" queryTableFieldId="3"/>
    <tableColumn id="4" xr3:uid="{AFEF47CA-7ED3-47A8-9F41-7E301E795A73}" uniqueName="4" name="SUBMITTED BY Pencacah" queryTableFieldId="4"/>
    <tableColumn id="5" xr3:uid="{1E38A5D3-A006-4D9D-89D2-F0BF54B6A773}" uniqueName="5" name="DRAFT" queryTableFieldId="5"/>
    <tableColumn id="6" xr3:uid="{A4541705-309F-4EA1-96C3-2C5E185F86EF}" uniqueName="6" name="REJECTED BY Pengawas" queryTableFieldId="6"/>
    <tableColumn id="7" xr3:uid="{621CAEB6-AE94-417F-9891-C87E144A9F01}" uniqueName="7" name="COMPLETED BY Admin Kabupaten" queryTableFieldId="7"/>
    <tableColumn id="8" xr3:uid="{D80CE9E9-0231-4A00-AC45-0F9E14230CE3}" uniqueName="8" name="EDITED BY Admin Kabupaten" queryTableFieldId="8"/>
    <tableColumn id="9" xr3:uid="{28AF443E-6928-46C9-8044-5B01D94EF3C6}" uniqueName="9" name="REVOKED BY Pengawas" queryTableFieldId="9"/>
    <tableColumn id="10" xr3:uid="{4D6C0593-7E65-4260-897D-9E5391A68A32}" uniqueName="10" name="SUBMITTED RESPONDENT" queryTableFieldId="10"/>
    <tableColumn id="11" xr3:uid="{C963B12D-76B1-41D1-8BA0-64D25F59FF7F}" uniqueName="11" name="REVOKED BY Admin Kabupaten" queryTableFieldId="11"/>
    <tableColumn id="12" xr3:uid="{BAEEC08C-22DF-47D9-B4BC-7DFFE5E994E0}" uniqueName="12" name="REJECTED BY Admin Kabupaten" queryTableFieldId="12"/>
    <tableColumn id="13" xr3:uid="{57A74CFD-CB76-4835-88CB-FD30CA09A1DB}" uniqueName="13" name="EDITED BY Pengawas" queryTableFieldId="13"/>
    <tableColumn id="14" xr3:uid="{4C4FB3E0-B1FA-4C70-89D0-36BB46424D5C}" uniqueName="14" name="Total" queryTableFieldId="14" dataDxfId="33">
      <calculatedColumnFormula>SUM(progress_assignment_fd68e454_ba45_4b85_8205_f3bf777ded24__20[[#This Row],[OPEN]:[EDITED BY Pengawas]])</calculatedColumnFormula>
    </tableColumn>
    <tableColumn id="15" xr3:uid="{66F60041-4ECD-4812-B3B8-E0972B19E73C}" uniqueName="15" name="Not Draft + Open" queryTableFieldId="15" dataDxfId="32">
      <calculatedColumnFormula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calculatedColumnFormula>
    </tableColumn>
    <tableColumn id="16" xr3:uid="{65B11F8F-4397-493C-A1C0-B8E1AA67F1BB}" uniqueName="16" name="Persentase" queryTableFieldId="16" dataCellStyle="Comma">
      <calculatedColumnFormula>progress_assignment_fd68e454_ba45_4b85_8205_f3bf777ded24__20[[#This Row],[Not Draft + Open]]/progress_assignment_fd68e454_ba45_4b85_8205_f3bf777ded24__20[[#This Row],[Total]]*100</calculatedColumnFormula>
    </tableColumn>
    <tableColumn id="17" xr3:uid="{1858E9D9-DB0A-408E-958F-8FF7C37E025A}" uniqueName="17" name="Delta" queryTableFieldId="17" dataDxfId="31">
      <calculatedColumnFormula>progress_assignment_fd68e454_ba45_4b85_8205_f3bf777ded24__20[[#This Row],[Persentase]]-progress_assignment_fd68e454_ba45_4b85_8205_f3bf777ded24__6[[#This Row],[Persentase]]</calculatedColumnFormula>
    </tableColumn>
    <tableColumn id="18" xr3:uid="{77B71FDC-05AD-40A9-A8AE-37E36254C5D6}" uniqueName="18" name="Rank" queryTableFieldId="18" dataDxfId="30">
      <calculatedColumnFormula>RANK(progress_assignment_fd68e454_ba45_4b85_8205_f3bf777ded24__20[[#This Row],[Persentase]],progress_assignment_fd68e454_ba45_4b85_8205_f3bf777ded24__20[Persentase])</calculatedColumnFormula>
    </tableColumn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31134DE-4C9B-4A35-9A0C-A9907E2DD06D}" name="progress_assignment_fd68e454_ba45_4b85_8205_f3bf777ded24__21" displayName="progress_assignment_fd68e454_ba45_4b85_8205_f3bf777ded24__21" ref="A1:R14" tableType="queryTable" totalsRowShown="0">
  <autoFilter ref="A1:R14" xr:uid="{4230074B-15D8-4B3D-83FB-0D79355589C9}"/>
  <sortState xmlns:xlrd2="http://schemas.microsoft.com/office/spreadsheetml/2017/richdata2" ref="A2:R14">
    <sortCondition ref="A1:A14"/>
  </sortState>
  <tableColumns count="18">
    <tableColumn id="1" xr3:uid="{646D4283-3C32-4152-9ED5-EE383BF798E1}" uniqueName="1" name="Wilayah" queryTableFieldId="1"/>
    <tableColumn id="2" xr3:uid="{FC630908-F4C8-42D1-B1EB-78BDCBD8E5D5}" uniqueName="2" name="OPEN" queryTableFieldId="2"/>
    <tableColumn id="3" xr3:uid="{EE8C0F89-6B45-451B-A727-B62ED6B04B2F}" uniqueName="3" name="APPROVED BY Pengawas" queryTableFieldId="3"/>
    <tableColumn id="4" xr3:uid="{F58548FE-1A2C-4D2F-A0F4-353C48020D6F}" uniqueName="4" name="SUBMITTED BY Pencacah" queryTableFieldId="4"/>
    <tableColumn id="5" xr3:uid="{D26A0DD1-6F27-499A-A539-29BDBBB7474A}" uniqueName="5" name="DRAFT" queryTableFieldId="5"/>
    <tableColumn id="6" xr3:uid="{AF125723-4E35-4826-9B2A-CA58301ADC49}" uniqueName="6" name="REJECTED BY Pengawas" queryTableFieldId="6"/>
    <tableColumn id="7" xr3:uid="{215811E5-8871-4B2B-BE0D-C5CE889CD90E}" uniqueName="7" name="COMPLETED BY Admin Kabupaten" queryTableFieldId="7"/>
    <tableColumn id="8" xr3:uid="{ECEDDB74-1285-4CE6-997C-8EC89018BFA5}" uniqueName="8" name="EDITED BY Admin Kabupaten" queryTableFieldId="8"/>
    <tableColumn id="9" xr3:uid="{4FE580CC-7542-4255-B03C-967707E734EE}" uniqueName="9" name="REVOKED BY Pengawas" queryTableFieldId="9"/>
    <tableColumn id="10" xr3:uid="{A2956F15-049A-4134-86BB-7620A960A8F7}" uniqueName="10" name="SUBMITTED RESPONDENT" queryTableFieldId="10"/>
    <tableColumn id="11" xr3:uid="{0EB9AB5E-1FFB-465F-84C3-D2A16C198566}" uniqueName="11" name="REVOKED BY Admin Kabupaten" queryTableFieldId="11"/>
    <tableColumn id="12" xr3:uid="{755C629B-04E9-4F14-8901-3E10820908E0}" uniqueName="12" name="REJECTED BY Admin Kabupaten" queryTableFieldId="12"/>
    <tableColumn id="13" xr3:uid="{EE4513F4-7E58-4E63-ACEA-F0C61C0167EC}" uniqueName="13" name="EDITED BY Pengawas" queryTableFieldId="13"/>
    <tableColumn id="14" xr3:uid="{6A1BF056-7347-4313-955C-57E04C5B7BA8}" uniqueName="14" name="Total" queryTableFieldId="14" dataDxfId="29">
      <calculatedColumnFormula>SUM(progress_assignment_fd68e454_ba45_4b85_8205_f3bf777ded24__21[[#This Row],[OPEN]:[EDITED BY Pengawas]])</calculatedColumnFormula>
    </tableColumn>
    <tableColumn id="15" xr3:uid="{0FBB6976-596C-4822-A563-B91D97174C2A}" uniqueName="15" name="Not Draft + Open" queryTableFieldId="15" dataDxfId="28">
      <calculatedColumnFormula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calculatedColumnFormula>
    </tableColumn>
    <tableColumn id="16" xr3:uid="{DC331ED9-AE7D-425F-BA6D-1E7CF1BC8C25}" uniqueName="16" name="Persentase" queryTableFieldId="16" dataCellStyle="Comma">
      <calculatedColumnFormula>progress_assignment_fd68e454_ba45_4b85_8205_f3bf777ded24__21[[#This Row],[Not Draft + Open]]/progress_assignment_fd68e454_ba45_4b85_8205_f3bf777ded24__21[[#This Row],[Total]]*100</calculatedColumnFormula>
    </tableColumn>
    <tableColumn id="17" xr3:uid="{21355832-3690-41E1-A530-E992BCC3F905}" uniqueName="17" name="Delta" queryTableFieldId="17" dataDxfId="27">
      <calculatedColumnFormula>progress_assignment_fd68e454_ba45_4b85_8205_f3bf777ded24__21[[#This Row],[Persentase]]-progress_assignment_fd68e454_ba45_4b85_8205_f3bf777ded24__20[[#This Row],[Persentase]]</calculatedColumnFormula>
    </tableColumn>
    <tableColumn id="18" xr3:uid="{D2E80D2F-C01A-4E1E-9081-9CADBC05CE0A}" uniqueName="18" name="Rank" queryTableFieldId="18" dataDxfId="26">
      <calculatedColumnFormula>RANK(progress_assignment_fd68e454_ba45_4b85_8205_f3bf777ded24__21[[#This Row],[Persentase]],progress_assignment_fd68e454_ba45_4b85_8205_f3bf777ded24__21[Persentase])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DA12BA6-E08A-4F5C-8CD5-B54E34745D51}" name="progress_assignment_fd68e454_ba45_4b85_8205_f3bf777ded24__22" displayName="progress_assignment_fd68e454_ba45_4b85_8205_f3bf777ded24__22" ref="A1:R14" tableType="queryTable" totalsRowShown="0">
  <autoFilter ref="A1:R14" xr:uid="{D4B7CB22-D5F0-4D6F-882F-D8E8E4549B45}"/>
  <sortState xmlns:xlrd2="http://schemas.microsoft.com/office/spreadsheetml/2017/richdata2" ref="A2:R14">
    <sortCondition ref="A1:A14"/>
  </sortState>
  <tableColumns count="18">
    <tableColumn id="1" xr3:uid="{8AFC070F-ABE0-471A-A7B9-79CD75B9FAC7}" uniqueName="1" name="Wilayah" queryTableFieldId="1"/>
    <tableColumn id="2" xr3:uid="{A1D59FA1-9E9B-4E3A-A296-52771D15A77F}" uniqueName="2" name="OPEN" queryTableFieldId="2"/>
    <tableColumn id="3" xr3:uid="{8F84A191-93FC-4463-90AD-7CB51ADB5B31}" uniqueName="3" name="APPROVED BY Pengawas" queryTableFieldId="3"/>
    <tableColumn id="4" xr3:uid="{E1E50227-45AA-4079-9545-3A1EEEABC5E9}" uniqueName="4" name="SUBMITTED BY Pencacah" queryTableFieldId="4"/>
    <tableColumn id="5" xr3:uid="{067B28DD-7CCF-4868-A292-31D768626AD7}" uniqueName="5" name="DRAFT" queryTableFieldId="5"/>
    <tableColumn id="6" xr3:uid="{2D651064-9A84-4DFA-B4C8-CA0D46D1CD28}" uniqueName="6" name="REJECTED BY Pengawas" queryTableFieldId="6"/>
    <tableColumn id="7" xr3:uid="{E67FC481-A1D9-4277-8322-B3D6CBE4EC02}" uniqueName="7" name="COMPLETED BY Admin Kabupaten" queryTableFieldId="7"/>
    <tableColumn id="8" xr3:uid="{33FADB5F-9576-42AD-ADE8-F63303A9778E}" uniqueName="8" name="EDITED BY Admin Kabupaten" queryTableFieldId="8"/>
    <tableColumn id="9" xr3:uid="{4D3F836B-FDA6-443F-8451-AAA08BA2BCDA}" uniqueName="9" name="REVOKED BY Pengawas" queryTableFieldId="9"/>
    <tableColumn id="10" xr3:uid="{F5CCA1A9-7B59-4BFB-844F-1FE4FA035BAE}" uniqueName="10" name="SUBMITTED RESPONDENT" queryTableFieldId="10"/>
    <tableColumn id="11" xr3:uid="{0E730829-33E8-46EF-9398-AF41B86B87F5}" uniqueName="11" name="REVOKED BY Admin Kabupaten" queryTableFieldId="11"/>
    <tableColumn id="12" xr3:uid="{68D6F802-62EF-4895-94F8-700384A0FF80}" uniqueName="12" name="REJECTED BY Admin Kabupaten" queryTableFieldId="12"/>
    <tableColumn id="13" xr3:uid="{946655F2-79EE-42E8-BA64-14DE04B99A63}" uniqueName="13" name="EDITED BY Pengawas" queryTableFieldId="13"/>
    <tableColumn id="14" xr3:uid="{28BC9A9C-1095-41DF-83A3-00B7C9C24D44}" uniqueName="14" name="Total" queryTableFieldId="14" dataDxfId="25">
      <calculatedColumnFormula>SUM(progress_assignment_fd68e454_ba45_4b85_8205_f3bf777ded24__22[[#This Row],[OPEN]:[EDITED BY Pengawas]])</calculatedColumnFormula>
    </tableColumn>
    <tableColumn id="15" xr3:uid="{BD3423B3-A137-4A4A-8E4A-7A4ACA532FEA}" uniqueName="15" name="Not Draft + Open" queryTableFieldId="15" dataDxfId="24">
      <calculatedColumnFormula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calculatedColumnFormula>
    </tableColumn>
    <tableColumn id="16" xr3:uid="{09E3D022-5E7F-44F9-81E8-528A6E8D8E22}" uniqueName="16" name="Persentase" queryTableFieldId="16" dataCellStyle="Comma">
      <calculatedColumnFormula>progress_assignment_fd68e454_ba45_4b85_8205_f3bf777ded24__22[[#This Row],[Not Draft + Open]]/progress_assignment_fd68e454_ba45_4b85_8205_f3bf777ded24__22[[#This Row],[Total]]*100</calculatedColumnFormula>
    </tableColumn>
    <tableColumn id="17" xr3:uid="{799C8BD5-CDC1-4C02-9E37-278AF16FE23B}" uniqueName="17" name="Delta" queryTableFieldId="17" dataDxfId="23">
      <calculatedColumnFormula>progress_assignment_fd68e454_ba45_4b85_8205_f3bf777ded24__22[[#This Row],[Persentase]]-progress_assignment_fd68e454_ba45_4b85_8205_f3bf777ded24__21[[#This Row],[Persentase]]</calculatedColumnFormula>
    </tableColumn>
    <tableColumn id="18" xr3:uid="{72B3C06B-CFEB-499D-869E-901CD95B6D42}" uniqueName="18" name="Rank" queryTableFieldId="18" dataDxfId="22">
      <calculatedColumnFormula>RANK(progress_assignment_fd68e454_ba45_4b85_8205_f3bf777ded24__22[[#This Row],[Persentase]],progress_assignment_fd68e454_ba45_4b85_8205_f3bf777ded24__22[Persentase])</calculatedColumnFormula>
    </tableColumn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1C6D182-FF29-440E-A3CE-6B4933FA8515}" name="progress_assignment_fd68e454_ba45_4b85_8205_f3bf777ded24__23" displayName="progress_assignment_fd68e454_ba45_4b85_8205_f3bf777ded24__23" ref="A1:R14" tableType="queryTable" totalsRowShown="0">
  <autoFilter ref="A1:R14" xr:uid="{5EE2AB95-BB87-43D2-B72B-237F9A9EEFB3}"/>
  <sortState xmlns:xlrd2="http://schemas.microsoft.com/office/spreadsheetml/2017/richdata2" ref="A2:R14">
    <sortCondition ref="A1:A14"/>
  </sortState>
  <tableColumns count="18">
    <tableColumn id="1" xr3:uid="{59DF4306-F3E3-4223-9B4F-5D9CC339912B}" uniqueName="1" name="Wilayah" queryTableFieldId="1"/>
    <tableColumn id="2" xr3:uid="{2792D40E-30EA-4B34-9079-045038150CE2}" uniqueName="2" name="OPEN" queryTableFieldId="2"/>
    <tableColumn id="3" xr3:uid="{EC922DBA-681F-4D52-823C-3E9500EE3CAB}" uniqueName="3" name="APPROVED BY Pengawas" queryTableFieldId="3"/>
    <tableColumn id="4" xr3:uid="{3B9FFE31-20DA-476E-80C6-E6F8E4F70E99}" uniqueName="4" name="SUBMITTED BY Pencacah" queryTableFieldId="4"/>
    <tableColumn id="5" xr3:uid="{09FB15D9-3EC2-4BE8-AD99-4FA77E7BAA0C}" uniqueName="5" name="DRAFT" queryTableFieldId="5"/>
    <tableColumn id="6" xr3:uid="{636F7FFE-CBAC-4FE1-ADF0-B0AE3DB42A59}" uniqueName="6" name="REJECTED BY Pengawas" queryTableFieldId="6"/>
    <tableColumn id="7" xr3:uid="{10365D86-5E8E-4074-865F-145A6EF3681A}" uniqueName="7" name="COMPLETED BY Admin Kabupaten" queryTableFieldId="7"/>
    <tableColumn id="8" xr3:uid="{B1AB1F8B-34E7-44AA-8B63-08A76EB50185}" uniqueName="8" name="EDITED BY Admin Kabupaten" queryTableFieldId="8"/>
    <tableColumn id="9" xr3:uid="{3D598630-4DD1-4560-B659-1105AE67F91A}" uniqueName="9" name="REVOKED BY Pengawas" queryTableFieldId="9"/>
    <tableColumn id="10" xr3:uid="{82C5F877-4564-47DB-813B-D29DB40EE50A}" uniqueName="10" name="SUBMITTED RESPONDENT" queryTableFieldId="10"/>
    <tableColumn id="11" xr3:uid="{87B65393-E4A8-411E-B052-D04DE377F07C}" uniqueName="11" name="REVOKED BY Admin Kabupaten" queryTableFieldId="11"/>
    <tableColumn id="12" xr3:uid="{66BBA12F-2A08-4BE4-8EB1-25617ABA2A79}" uniqueName="12" name="REJECTED BY Admin Kabupaten" queryTableFieldId="12"/>
    <tableColumn id="13" xr3:uid="{A32B2B77-E007-4F9A-8355-FF5FAD5C72D9}" uniqueName="13" name="EDITED BY Pengawas" queryTableFieldId="13"/>
    <tableColumn id="14" xr3:uid="{FEC5AB9D-C3E1-47B7-A222-AAE3E1DD208B}" uniqueName="14" name="Total" queryTableFieldId="14" dataDxfId="21">
      <calculatedColumnFormula>SUM(progress_assignment_fd68e454_ba45_4b85_8205_f3bf777ded24__23[[#This Row],[OPEN]:[EDITED BY Pengawas]])</calculatedColumnFormula>
    </tableColumn>
    <tableColumn id="15" xr3:uid="{1739E5A7-0425-4BAC-9A56-63EF667BF073}" uniqueName="15" name="Not Draft + Open" queryTableFieldId="15" dataDxfId="20">
      <calculatedColumnFormula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calculatedColumnFormula>
    </tableColumn>
    <tableColumn id="16" xr3:uid="{1ED1B369-F12D-436D-BAE1-CC8B6B04AFBE}" uniqueName="16" name="Persentase" queryTableFieldId="16" dataCellStyle="Comma">
      <calculatedColumnFormula>progress_assignment_fd68e454_ba45_4b85_8205_f3bf777ded24__23[[#This Row],[Not Draft + Open]]/progress_assignment_fd68e454_ba45_4b85_8205_f3bf777ded24__23[[#This Row],[Total]]*100</calculatedColumnFormula>
    </tableColumn>
    <tableColumn id="17" xr3:uid="{0D448F46-9CA7-4D22-B539-E3A4061E1397}" uniqueName="17" name="Delta" queryTableFieldId="17" dataDxfId="19">
      <calculatedColumnFormula>progress_assignment_fd68e454_ba45_4b85_8205_f3bf777ded24__23[[#This Row],[Persentase]]-progress_assignment_fd68e454_ba45_4b85_8205_f3bf777ded24__22[[#This Row],[Persentase]]</calculatedColumnFormula>
    </tableColumn>
    <tableColumn id="18" xr3:uid="{3C978F8C-AD70-417C-8135-7216CDDA7A47}" uniqueName="18" name="Rank" queryTableFieldId="18" dataDxfId="18">
      <calculatedColumnFormula>RANK(progress_assignment_fd68e454_ba45_4b85_8205_f3bf777ded24__23[[#This Row],[Persentase]],progress_assignment_fd68e454_ba45_4b85_8205_f3bf777ded24__23[Persentase])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794846D-9F7C-421A-8AB1-A24690C8BFFB}" name="progress_assignment_fd68e454_ba45_4b85_8205_f3bf777ded24__24" displayName="progress_assignment_fd68e454_ba45_4b85_8205_f3bf777ded24__24" ref="A1:R14" tableType="queryTable" totalsRowShown="0">
  <autoFilter ref="A1:R14" xr:uid="{1440D6D9-4DD1-4A8B-AF4F-B8E017BB792A}"/>
  <sortState xmlns:xlrd2="http://schemas.microsoft.com/office/spreadsheetml/2017/richdata2" ref="A2:R14">
    <sortCondition ref="A1:A14"/>
  </sortState>
  <tableColumns count="18">
    <tableColumn id="1" xr3:uid="{D343A86B-26E1-44D2-A5EA-FE32CF833B9B}" uniqueName="1" name="Wilayah" queryTableFieldId="1"/>
    <tableColumn id="2" xr3:uid="{7F545B48-6534-4776-9F10-CFEE1502C9BE}" uniqueName="2" name="OPEN" queryTableFieldId="2"/>
    <tableColumn id="3" xr3:uid="{CF6F9D35-76D7-4872-8E7F-26716C29FDF5}" uniqueName="3" name="APPROVED BY Pengawas" queryTableFieldId="3"/>
    <tableColumn id="4" xr3:uid="{B5967E25-3AD2-433A-849D-548D29CA9E73}" uniqueName="4" name="SUBMITTED BY Pencacah" queryTableFieldId="4"/>
    <tableColumn id="5" xr3:uid="{B5D7524F-C3C3-4775-B519-C64661CC7347}" uniqueName="5" name="DRAFT" queryTableFieldId="5"/>
    <tableColumn id="6" xr3:uid="{312E075A-377B-46CE-B3D0-1AF54E13F372}" uniqueName="6" name="REJECTED BY Pengawas" queryTableFieldId="6"/>
    <tableColumn id="7" xr3:uid="{F9C97117-7216-46CD-A8FE-9B6B5029899C}" uniqueName="7" name="COMPLETED BY Admin Kabupaten" queryTableFieldId="7"/>
    <tableColumn id="8" xr3:uid="{D156BAEC-3D5B-4289-9D94-521C407B3FEB}" uniqueName="8" name="EDITED BY Admin Kabupaten" queryTableFieldId="8"/>
    <tableColumn id="9" xr3:uid="{BB79446A-F832-4ED3-B7D4-71EBDEF9507E}" uniqueName="9" name="REVOKED BY Pengawas" queryTableFieldId="9"/>
    <tableColumn id="10" xr3:uid="{00606F6F-FD40-40C1-969C-D53E3F65BBA9}" uniqueName="10" name="SUBMITTED RESPONDENT" queryTableFieldId="10"/>
    <tableColumn id="11" xr3:uid="{C6C34078-BC6D-49B6-AC2B-60E8ED0213FF}" uniqueName="11" name="REVOKED BY Admin Kabupaten" queryTableFieldId="11"/>
    <tableColumn id="12" xr3:uid="{8A0F9F57-6245-419B-8818-A66B52E7BF58}" uniqueName="12" name="REJECTED BY Admin Kabupaten" queryTableFieldId="12"/>
    <tableColumn id="13" xr3:uid="{81EF4AD8-83CD-4D05-A823-36872FF979C0}" uniqueName="13" name="EDITED BY Pengawas" queryTableFieldId="13"/>
    <tableColumn id="14" xr3:uid="{6B06F488-097C-4F39-901C-0813B5A00E76}" uniqueName="14" name="Total" queryTableFieldId="14" dataDxfId="17">
      <calculatedColumnFormula>SUM(progress_assignment_fd68e454_ba45_4b85_8205_f3bf777ded24__24[[#This Row],[OPEN]:[EDITED BY Pengawas]])</calculatedColumnFormula>
    </tableColumn>
    <tableColumn id="15" xr3:uid="{8B72D4C3-C19F-49C6-A205-A0FCFAA3ED35}" uniqueName="15" name="Not Draft + Open" queryTableFieldId="15" dataDxfId="16">
      <calculatedColumnFormula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calculatedColumnFormula>
    </tableColumn>
    <tableColumn id="16" xr3:uid="{968B7350-5AD9-493C-AA67-7CB7B2651913}" uniqueName="16" name="Persentase" queryTableFieldId="16" dataCellStyle="Comma">
      <calculatedColumnFormula>progress_assignment_fd68e454_ba45_4b85_8205_f3bf777ded24__24[[#This Row],[Not Draft + Open]]/progress_assignment_fd68e454_ba45_4b85_8205_f3bf777ded24__24[[#This Row],[Total]]*100</calculatedColumnFormula>
    </tableColumn>
    <tableColumn id="17" xr3:uid="{31E084CD-9CD5-4C22-ACF7-7B28DD03A125}" uniqueName="17" name="Delta" queryTableFieldId="17" dataDxfId="15">
      <calculatedColumnFormula>progress_assignment_fd68e454_ba45_4b85_8205_f3bf777ded24__24[[#This Row],[Persentase]]-progress_assignment_fd68e454_ba45_4b85_8205_f3bf777ded24__23[[#This Row],[Persentase]]</calculatedColumnFormula>
    </tableColumn>
    <tableColumn id="18" xr3:uid="{56B4EBCB-0BC6-44E3-968B-72DACF81B083}" uniqueName="18" name="Rank" queryTableFieldId="18" dataDxfId="14">
      <calculatedColumnFormula>RANK(progress_assignment_fd68e454_ba45_4b85_8205_f3bf777ded24__24[[#This Row],[Persentase]],progress_assignment_fd68e454_ba45_4b85_8205_f3bf777ded24__24[Persentase])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7AEAD1E-87B8-4A00-BB67-5788097AFFF9}" name="progress_assignment_fd68e454_ba45_4b85_8205_f3bf777ded24__26" displayName="progress_assignment_fd68e454_ba45_4b85_8205_f3bf777ded24__26" ref="A16:P17" tableType="queryTable" totalsRowShown="0">
  <autoFilter ref="A16:P17" xr:uid="{D009BF84-A03B-4F93-A251-A9117FD7A685}"/>
  <tableColumns count="16">
    <tableColumn id="1" xr3:uid="{7A89A59B-2DDD-4EBD-B771-6DC52B075EB1}" uniqueName="1" name="Wilayah" queryTableFieldId="1"/>
    <tableColumn id="2" xr3:uid="{1E9A29C3-E18C-4C14-B66F-E35509A82395}" uniqueName="2" name="OPEN" queryTableFieldId="2"/>
    <tableColumn id="3" xr3:uid="{48F3E5A7-4F4C-421E-92E3-684C9EEDCC6B}" uniqueName="3" name="APPROVED BY Pengawas" queryTableFieldId="3"/>
    <tableColumn id="4" xr3:uid="{E82CE5E1-021B-4628-8F40-7F5D78BB011D}" uniqueName="4" name="SUBMITTED BY Pencacah" queryTableFieldId="4"/>
    <tableColumn id="5" xr3:uid="{EB71606A-718A-4404-BB70-8696438469A4}" uniqueName="5" name="DRAFT" queryTableFieldId="5"/>
    <tableColumn id="6" xr3:uid="{51B70CF0-9FEE-4A42-863A-369CD5D4BF85}" uniqueName="6" name="REJECTED BY Pengawas" queryTableFieldId="6"/>
    <tableColumn id="7" xr3:uid="{80E5C383-C658-4718-A808-9C2B2D5417EE}" uniqueName="7" name="COMPLETED BY Admin Kabupaten" queryTableFieldId="7"/>
    <tableColumn id="8" xr3:uid="{99599954-0714-488B-A1B2-C45E1BAEAB97}" uniqueName="8" name="EDITED BY Admin Kabupaten" queryTableFieldId="8"/>
    <tableColumn id="9" xr3:uid="{129D37B8-F9FA-4799-A5F1-EA2CC5390539}" uniqueName="9" name="REVOKED BY Pengawas" queryTableFieldId="9"/>
    <tableColumn id="10" xr3:uid="{E1A97D90-8441-4674-983A-4FABC2A983ED}" uniqueName="10" name="SUBMITTED RESPONDENT" queryTableFieldId="10"/>
    <tableColumn id="11" xr3:uid="{0F6A290D-9CDF-41AF-9E6B-62D8BE57668E}" uniqueName="11" name="REJECTED BY Admin Kabupaten" queryTableFieldId="11"/>
    <tableColumn id="12" xr3:uid="{C8B68D8C-E921-4D0C-B696-072FA36D469E}" uniqueName="12" name="Total" queryTableFieldId="12">
      <calculatedColumnFormula>SUM(progress_assignment_fd68e454_ba45_4b85_8205_f3bf777ded24__26[[#This Row],[OPEN]:[REJECTED BY Admin Kabupaten]])</calculatedColumnFormula>
    </tableColumn>
    <tableColumn id="13" xr3:uid="{25BEBD2C-CC2B-4E98-B352-09637E16AD4D}" uniqueName="13" name="Not Draft + Open" queryTableFieldId="13">
      <calculatedColumnFormula>progress_assignment_fd68e454_ba45_4b85_8205_f3bf777ded24__26[[#This Row],[REJECTED BY Admin Kabupaten]]+progress_assignment_fd68e454_ba45_4b85_8205_f3bf777ded24__26[[#This Row],[SUBMITTED RESPONDENT]]+progress_assignment_fd68e454_ba45_4b85_8205_f3bf777ded24__26[[#This Row],[REVOKED BY Pengawas]]+progress_assignment_fd68e454_ba45_4b85_8205_f3bf777ded24__26[[#This Row],[EDITED BY Admin Kabupaten]]+progress_assignment_fd68e454_ba45_4b85_8205_f3bf777ded24__26[[#This Row],[COMPLETED BY Admin Kabupaten]]+progress_assignment_fd68e454_ba45_4b85_8205_f3bf777ded24__26[[#This Row],[REJECTED BY Pengawas]]+progress_assignment_fd68e454_ba45_4b85_8205_f3bf777ded24__26[[#This Row],[SUBMITTED BY Pencacah]]+progress_assignment_fd68e454_ba45_4b85_8205_f3bf777ded24__26[[#This Row],[APPROVED BY Pengawas]]</calculatedColumnFormula>
    </tableColumn>
    <tableColumn id="14" xr3:uid="{B2CFD978-CF94-4158-8077-D2BC78787896}" uniqueName="14" name="Persentase" queryTableFieldId="14" dataCellStyle="Comma">
      <calculatedColumnFormula>progress_assignment_fd68e454_ba45_4b85_8205_f3bf777ded24__26[[#This Row],[Not Draft + Open]]/progress_assignment_fd68e454_ba45_4b85_8205_f3bf777ded24__26[[#This Row],[Total]]*100</calculatedColumnFormula>
    </tableColumn>
    <tableColumn id="15" xr3:uid="{22F7B604-9014-44E1-A812-CFEEE443DADC}" uniqueName="15" name="Delta" queryTableFieldId="15">
      <calculatedColumnFormula>progress_assignment_fd68e454_ba45_4b85_8205_f3bf777ded24__26[[#This Row],[Persentase]]-'25 Juli'!P16</calculatedColumnFormula>
    </tableColumn>
    <tableColumn id="16" xr3:uid="{501409FA-4CF8-40A7-A77E-2302DFE520C9}" uniqueName="16" name="Rank" queryTableFieldId="1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A7EE13B-E1DB-43FA-8F38-C3028A773172}" name="rekap_se_umum_2607" displayName="rekap_se_umum_2607" ref="A1:O188" tableType="queryTable" totalsRowShown="0">
  <autoFilter ref="A1:O188" xr:uid="{237A0015-CC2A-4BF1-AF15-5A0441502E2A}"/>
  <tableColumns count="15">
    <tableColumn id="1" xr3:uid="{8A151607-8510-4BFD-BEB0-8615B1C18FD2}" uniqueName="1" name="Kabupaten" queryTableFieldId="1" dataDxfId="10"/>
    <tableColumn id="2" xr3:uid="{C8526E68-FB8C-4491-BC6C-5C7C6AAA6783}" uniqueName="2" name="Kecamatan" queryTableFieldId="2" dataDxfId="9"/>
    <tableColumn id="3" xr3:uid="{9508E395-DDD3-4C6F-8838-F6E3D7D3BE3C}" uniqueName="3" name="Total Prelist" queryTableFieldId="3"/>
    <tableColumn id="4" xr3:uid="{E91EA0B7-EAE1-40F6-9543-AD26569475D9}" uniqueName="4" name="Total Draft" queryTableFieldId="4"/>
    <tableColumn id="5" xr3:uid="{6C3A1FA1-396E-4E28-A2EE-D4A9C3B407EE}" uniqueName="5" name="Total Open" queryTableFieldId="5"/>
    <tableColumn id="6" xr3:uid="{FEC53698-AC2C-4C5C-93EC-AB57BDC5D913}" uniqueName="6" name="Total Submitted" queryTableFieldId="6"/>
    <tableColumn id="7" xr3:uid="{EC886472-1B42-4661-91BA-48F9245EBBFC}" uniqueName="7" name="Total Rejected" queryTableFieldId="7"/>
    <tableColumn id="8" xr3:uid="{06B835F8-C499-4BDB-8443-C71FA8C1820C}" uniqueName="8" name="Total Approved" queryTableFieldId="8"/>
    <tableColumn id="9" xr3:uid="{33558181-BAAC-4505-A260-F89F039C68A0}" uniqueName="9" name="Submitted Pencacah" queryTableFieldId="9"/>
    <tableColumn id="10" xr3:uid="{AAC3782E-5F01-4D99-8669-995BEB172A86}" uniqueName="10" name="Submitted Respondent" queryTableFieldId="10"/>
    <tableColumn id="11" xr3:uid="{1D9F47BD-3515-4312-AA7F-E0E030C9771A}" uniqueName="11" name="Persentase" queryTableFieldId="11"/>
    <tableColumn id="12" xr3:uid="{D2D24A1A-064F-4A92-A8CB-9A5C26CDE173}" uniqueName="12" name="Today Completed" queryTableFieldId="12"/>
    <tableColumn id="13" xr3:uid="{D773BFA8-0319-435E-9DF6-1920706DC8D3}" uniqueName="13" name="Yesterday Completed" queryTableFieldId="13"/>
    <tableColumn id="14" xr3:uid="{D382C4B1-8446-436C-9DA5-6B03A35B1833}" uniqueName="14" name="New Usaha" queryTableFieldId="14"/>
    <tableColumn id="15" xr3:uid="{0EDAFA03-7AA9-440B-B916-1B560DE48783}" uniqueName="15" name="New Rumah" queryTableFieldId="15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826213-88D0-4AA9-8C40-5902F8A59065}" name="progress_assignment_fd68e454_ba45_4b85_8205_f3bf777ded24__27" displayName="progress_assignment_fd68e454_ba45_4b85_8205_f3bf777ded24__27" ref="A1:R14" tableType="queryTable" totalsRowShown="0">
  <autoFilter ref="A1:R14" xr:uid="{1C2826A6-BAA9-4B02-8069-4E90F46A4AFA}"/>
  <sortState xmlns:xlrd2="http://schemas.microsoft.com/office/spreadsheetml/2017/richdata2" ref="A2:R14">
    <sortCondition ref="A1:A14"/>
  </sortState>
  <tableColumns count="18">
    <tableColumn id="1" xr3:uid="{DC45CC5B-AB50-48D4-A9AF-ED40A5CD4A4C}" uniqueName="1" name="Wilayah" queryTableFieldId="1"/>
    <tableColumn id="2" xr3:uid="{D3FE4781-ED73-4345-8947-2FBAB259BC19}" uniqueName="2" name="OPEN" queryTableFieldId="2"/>
    <tableColumn id="3" xr3:uid="{24E1A490-A43A-4E7A-BAEB-5A9B59C09966}" uniqueName="3" name="APPROVED BY Pengawas" queryTableFieldId="3"/>
    <tableColumn id="4" xr3:uid="{E57597DD-61BC-4B82-B066-A05A78DFE586}" uniqueName="4" name="SUBMITTED BY Pencacah" queryTableFieldId="4"/>
    <tableColumn id="5" xr3:uid="{C6BFDF88-2598-403D-B42B-6176BB1E7AA7}" uniqueName="5" name="DRAFT" queryTableFieldId="5"/>
    <tableColumn id="6" xr3:uid="{7FCC55D7-D944-44A1-A8EF-FA05D1C5E9FB}" uniqueName="6" name="REJECTED BY Pengawas" queryTableFieldId="6"/>
    <tableColumn id="7" xr3:uid="{8E1A4E3D-0066-4E0F-9390-FD7CEB4CEA23}" uniqueName="7" name="COMPLETED BY Admin Kabupaten" queryTableFieldId="7"/>
    <tableColumn id="8" xr3:uid="{2BBC23F1-6190-44F2-B3D7-8309E1DD016C}" uniqueName="8" name="EDITED BY Admin Kabupaten" queryTableFieldId="8"/>
    <tableColumn id="9" xr3:uid="{4A3118FF-E14B-477A-AD06-C4FF1B7B15BA}" uniqueName="9" name="REVOKED BY Pengawas" queryTableFieldId="9"/>
    <tableColumn id="10" xr3:uid="{A0141D07-3594-4FDB-AB36-E11A8F823D22}" uniqueName="10" name="SUBMITTED RESPONDENT" queryTableFieldId="10"/>
    <tableColumn id="11" xr3:uid="{ECB05401-04DC-4DBC-8DC5-CF523A8BBF59}" uniqueName="11" name="REVOKED BY Admin Kabupaten" queryTableFieldId="11"/>
    <tableColumn id="12" xr3:uid="{9921625F-CC6D-4094-B4BE-848AA72144F8}" uniqueName="12" name="REJECTED BY Admin Kabupaten" queryTableFieldId="12"/>
    <tableColumn id="13" xr3:uid="{0969E884-6753-46B6-808C-44A0B1375D6C}" uniqueName="13" name="EDITED BY Pengawas" queryTableFieldId="13"/>
    <tableColumn id="14" xr3:uid="{6FC5262F-B72C-4D51-8A69-8DBB3505946A}" uniqueName="14" name="Total" queryTableFieldId="14" dataDxfId="13">
      <calculatedColumnFormula>SUM(progress_assignment_fd68e454_ba45_4b85_8205_f3bf777ded24__27[[#This Row],[OPEN]:[EDITED BY Pengawas]])</calculatedColumnFormula>
    </tableColumn>
    <tableColumn id="15" xr3:uid="{E53CE05C-AD09-4ED7-AD5C-842014E1B1F8}" uniqueName="15" name="Not Draft + Open" queryTableFieldId="15" dataDxfId="12">
      <calculatedColumnFormula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calculatedColumnFormula>
    </tableColumn>
    <tableColumn id="16" xr3:uid="{40D7026B-971A-4C74-BCB8-DC0DFA6F9878}" uniqueName="16" name="Persentase" queryTableFieldId="16" dataCellStyle="Comma">
      <calculatedColumnFormula>progress_assignment_fd68e454_ba45_4b85_8205_f3bf777ded24__27[[#This Row],[Not Draft + Open]]/progress_assignment_fd68e454_ba45_4b85_8205_f3bf777ded24__27[[#This Row],[Total]]*100</calculatedColumnFormula>
    </tableColumn>
    <tableColumn id="17" xr3:uid="{C5398977-2F8A-4A21-A867-4FC79CFE1A4F}" uniqueName="17" name="Delta" queryTableFieldId="17" dataDxfId="0">
      <calculatedColumnFormula>progress_assignment_fd68e454_ba45_4b85_8205_f3bf777ded24__27[[#This Row],[Persentase]]-'26 Juli'!N2</calculatedColumnFormula>
    </tableColumn>
    <tableColumn id="18" xr3:uid="{BCF3301C-2206-423F-8CA1-C1E2EDDE8FB3}" uniqueName="18" name="Rank" queryTableFieldId="18" dataDxfId="11">
      <calculatedColumnFormula>RANK(progress_assignment_fd68e454_ba45_4b85_8205_f3bf777ded24__27[[#This Row],[Persentase]],progress_assignment_fd68e454_ba45_4b85_8205_f3bf777ded24__27[Persentase])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BD234-5360-4EF1-AC60-E9A02435577F}">
  <dimension ref="A1:P14"/>
  <sheetViews>
    <sheetView topLeftCell="I1" workbookViewId="0">
      <selection activeCell="M2" sqref="M2"/>
    </sheetView>
  </sheetViews>
  <sheetFormatPr defaultRowHeight="14.4" x14ac:dyDescent="0.3"/>
  <cols>
    <col min="1" max="1" width="10" bestFit="1" customWidth="1"/>
    <col min="2" max="2" width="8" customWidth="1"/>
    <col min="3" max="3" width="24.33203125" customWidth="1"/>
    <col min="4" max="4" width="24.6640625" customWidth="1"/>
    <col min="5" max="5" width="8.6640625" customWidth="1"/>
    <col min="6" max="6" width="23" customWidth="1"/>
    <col min="7" max="7" width="27.88671875" customWidth="1"/>
    <col min="8" max="8" width="32.44140625" customWidth="1"/>
    <col min="9" max="9" width="22.88671875" customWidth="1"/>
    <col min="10" max="10" width="25.44140625" customWidth="1"/>
    <col min="11" max="11" width="20.88671875" customWidth="1"/>
    <col min="12" max="12" width="30" customWidth="1"/>
    <col min="13" max="14" width="8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14</v>
      </c>
      <c r="P1" t="s">
        <v>15</v>
      </c>
    </row>
    <row r="2" spans="1:16" x14ac:dyDescent="0.3">
      <c r="A2">
        <v>7211</v>
      </c>
      <c r="B2">
        <v>18979</v>
      </c>
      <c r="C2">
        <v>9039</v>
      </c>
      <c r="D2">
        <v>1252</v>
      </c>
      <c r="E2">
        <v>261</v>
      </c>
      <c r="F2">
        <v>142</v>
      </c>
      <c r="I2">
        <v>10</v>
      </c>
      <c r="J2">
        <v>24</v>
      </c>
      <c r="K2">
        <v>1</v>
      </c>
      <c r="M2">
        <f>SUM(progress_assignment_fd68e454_ba45_4b85_8205_f3bf777ded24_sulteng_6_Juli_2026[[#This Row],[OPEN]:[REJECTED BY Admin Kabupaten]])</f>
        <v>29708</v>
      </c>
      <c r="N2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10468</v>
      </c>
      <c r="O2" s="2">
        <f>progress_assignment_fd68e454_ba45_4b85_8205_f3bf777ded24_sulteng_6_Juli_2026[[#This Row],[Not Draft + Open]]/progress_assignment_fd68e454_ba45_4b85_8205_f3bf777ded24_sulteng_6_Juli_2026[[#This Row],[Total]]*100</f>
        <v>35.236299986535613</v>
      </c>
      <c r="P2">
        <f>RANK(progress_assignment_fd68e454_ba45_4b85_8205_f3bf777ded24_sulteng_6_Juli_2026[[#This Row],[Persentase]],progress_assignment_fd68e454_ba45_4b85_8205_f3bf777ded24_sulteng_6_Juli_2026[Persentase],0)</f>
        <v>1</v>
      </c>
    </row>
    <row r="3" spans="1:16" x14ac:dyDescent="0.3">
      <c r="A3">
        <v>7201</v>
      </c>
      <c r="B3">
        <v>30922</v>
      </c>
      <c r="C3">
        <v>6814</v>
      </c>
      <c r="D3">
        <v>7703</v>
      </c>
      <c r="E3">
        <v>1515</v>
      </c>
      <c r="F3">
        <v>805</v>
      </c>
      <c r="G3">
        <v>7</v>
      </c>
      <c r="I3">
        <v>46</v>
      </c>
      <c r="J3">
        <v>95</v>
      </c>
      <c r="K3">
        <v>1</v>
      </c>
      <c r="L3">
        <v>1</v>
      </c>
      <c r="M3">
        <f>SUM(progress_assignment_fd68e454_ba45_4b85_8205_f3bf777ded24_sulteng_6_Juli_2026[[#This Row],[OPEN]:[REJECTED BY Admin Kabupaten]])</f>
        <v>47909</v>
      </c>
      <c r="N3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15472</v>
      </c>
      <c r="O3" s="2">
        <f>progress_assignment_fd68e454_ba45_4b85_8205_f3bf777ded24_sulteng_6_Juli_2026[[#This Row],[Not Draft + Open]]/progress_assignment_fd68e454_ba45_4b85_8205_f3bf777ded24_sulteng_6_Juli_2026[[#This Row],[Total]]*100</f>
        <v>32.294558433697219</v>
      </c>
      <c r="P3">
        <f>RANK(progress_assignment_fd68e454_ba45_4b85_8205_f3bf777ded24_sulteng_6_Juli_2026[[#This Row],[Persentase]],progress_assignment_fd68e454_ba45_4b85_8205_f3bf777ded24_sulteng_6_Juli_2026[Persentase],0)</f>
        <v>2</v>
      </c>
    </row>
    <row r="4" spans="1:16" x14ac:dyDescent="0.3">
      <c r="A4">
        <v>7209</v>
      </c>
      <c r="B4">
        <v>41480</v>
      </c>
      <c r="C4">
        <v>9711</v>
      </c>
      <c r="D4">
        <v>8532</v>
      </c>
      <c r="E4">
        <v>1201</v>
      </c>
      <c r="F4">
        <v>1947</v>
      </c>
      <c r="I4">
        <v>40</v>
      </c>
      <c r="J4">
        <v>4</v>
      </c>
      <c r="K4">
        <v>4</v>
      </c>
      <c r="M4">
        <f>SUM(progress_assignment_fd68e454_ba45_4b85_8205_f3bf777ded24_sulteng_6_Juli_2026[[#This Row],[OPEN]:[REJECTED BY Admin Kabupaten]])</f>
        <v>62919</v>
      </c>
      <c r="N4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20238</v>
      </c>
      <c r="O4" s="2">
        <f>progress_assignment_fd68e454_ba45_4b85_8205_f3bf777ded24_sulteng_6_Juli_2026[[#This Row],[Not Draft + Open]]/progress_assignment_fd68e454_ba45_4b85_8205_f3bf777ded24_sulteng_6_Juli_2026[[#This Row],[Total]]*100</f>
        <v>32.165164735612457</v>
      </c>
      <c r="P4">
        <f>RANK(progress_assignment_fd68e454_ba45_4b85_8205_f3bf777ded24_sulteng_6_Juli_2026[[#This Row],[Persentase]],progress_assignment_fd68e454_ba45_4b85_8205_f3bf777ded24_sulteng_6_Juli_2026[Persentase],0)</f>
        <v>3</v>
      </c>
    </row>
    <row r="5" spans="1:16" x14ac:dyDescent="0.3">
      <c r="A5">
        <v>7208</v>
      </c>
      <c r="B5">
        <v>121422</v>
      </c>
      <c r="C5">
        <v>21927</v>
      </c>
      <c r="D5">
        <v>32319</v>
      </c>
      <c r="E5">
        <v>2531</v>
      </c>
      <c r="F5">
        <v>2524</v>
      </c>
      <c r="G5">
        <v>18</v>
      </c>
      <c r="H5">
        <v>2</v>
      </c>
      <c r="I5">
        <v>92</v>
      </c>
      <c r="J5">
        <v>5</v>
      </c>
      <c r="K5">
        <v>15</v>
      </c>
      <c r="M5">
        <f>SUM(progress_assignment_fd68e454_ba45_4b85_8205_f3bf777ded24_sulteng_6_Juli_2026[[#This Row],[OPEN]:[REJECTED BY Admin Kabupaten]])</f>
        <v>180855</v>
      </c>
      <c r="N5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56902</v>
      </c>
      <c r="O5" s="2">
        <f>progress_assignment_fd68e454_ba45_4b85_8205_f3bf777ded24_sulteng_6_Juli_2026[[#This Row],[Not Draft + Open]]/progress_assignment_fd68e454_ba45_4b85_8205_f3bf777ded24_sulteng_6_Juli_2026[[#This Row],[Total]]*100</f>
        <v>31.46277404550607</v>
      </c>
      <c r="P5">
        <f>RANK(progress_assignment_fd68e454_ba45_4b85_8205_f3bf777ded24_sulteng_6_Juli_2026[[#This Row],[Persentase]],progress_assignment_fd68e454_ba45_4b85_8205_f3bf777ded24_sulteng_6_Juli_2026[Persentase],0)</f>
        <v>4</v>
      </c>
    </row>
    <row r="6" spans="1:16" x14ac:dyDescent="0.3">
      <c r="A6">
        <v>7202</v>
      </c>
      <c r="B6">
        <v>100897</v>
      </c>
      <c r="C6">
        <v>9421</v>
      </c>
      <c r="D6">
        <v>35143</v>
      </c>
      <c r="E6">
        <v>4362</v>
      </c>
      <c r="F6">
        <v>1947</v>
      </c>
      <c r="G6">
        <v>15</v>
      </c>
      <c r="I6">
        <v>41</v>
      </c>
      <c r="J6">
        <v>4</v>
      </c>
      <c r="K6">
        <v>4</v>
      </c>
      <c r="L6">
        <v>1</v>
      </c>
      <c r="M6">
        <f>SUM(progress_assignment_fd68e454_ba45_4b85_8205_f3bf777ded24_sulteng_6_Juli_2026[[#This Row],[OPEN]:[REJECTED BY Admin Kabupaten]])</f>
        <v>151835</v>
      </c>
      <c r="N6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46576</v>
      </c>
      <c r="O6" s="2">
        <f>progress_assignment_fd68e454_ba45_4b85_8205_f3bf777ded24_sulteng_6_Juli_2026[[#This Row],[Not Draft + Open]]/progress_assignment_fd68e454_ba45_4b85_8205_f3bf777ded24_sulteng_6_Juli_2026[[#This Row],[Total]]*100</f>
        <v>30.675404221688019</v>
      </c>
      <c r="P6">
        <f>RANK(progress_assignment_fd68e454_ba45_4b85_8205_f3bf777ded24_sulteng_6_Juli_2026[[#This Row],[Persentase]],progress_assignment_fd68e454_ba45_4b85_8205_f3bf777ded24_sulteng_6_Juli_2026[Persentase],0)</f>
        <v>5</v>
      </c>
    </row>
    <row r="7" spans="1:16" x14ac:dyDescent="0.3">
      <c r="A7">
        <v>7210</v>
      </c>
      <c r="B7">
        <v>76510</v>
      </c>
      <c r="C7">
        <v>16261</v>
      </c>
      <c r="D7">
        <v>16618</v>
      </c>
      <c r="E7">
        <v>1990</v>
      </c>
      <c r="F7">
        <v>1445</v>
      </c>
      <c r="H7">
        <v>2</v>
      </c>
      <c r="I7">
        <v>78</v>
      </c>
      <c r="J7">
        <v>8</v>
      </c>
      <c r="K7">
        <v>6</v>
      </c>
      <c r="L7">
        <v>4</v>
      </c>
      <c r="M7">
        <f>SUM(progress_assignment_fd68e454_ba45_4b85_8205_f3bf777ded24_sulteng_6_Juli_2026[[#This Row],[OPEN]:[REJECTED BY Admin Kabupaten]])</f>
        <v>112922</v>
      </c>
      <c r="N7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34422</v>
      </c>
      <c r="O7" s="2">
        <f>progress_assignment_fd68e454_ba45_4b85_8205_f3bf777ded24_sulteng_6_Juli_2026[[#This Row],[Not Draft + Open]]/progress_assignment_fd68e454_ba45_4b85_8205_f3bf777ded24_sulteng_6_Juli_2026[[#This Row],[Total]]*100</f>
        <v>30.482988257381198</v>
      </c>
      <c r="P7">
        <f>RANK(progress_assignment_fd68e454_ba45_4b85_8205_f3bf777ded24_sulteng_6_Juli_2026[[#This Row],[Persentase]],progress_assignment_fd68e454_ba45_4b85_8205_f3bf777ded24_sulteng_6_Juli_2026[Persentase],0)</f>
        <v>6</v>
      </c>
    </row>
    <row r="8" spans="1:16" x14ac:dyDescent="0.3">
      <c r="A8">
        <v>7204</v>
      </c>
      <c r="B8">
        <v>75646</v>
      </c>
      <c r="C8">
        <v>12426</v>
      </c>
      <c r="D8">
        <v>18832</v>
      </c>
      <c r="E8">
        <v>2914</v>
      </c>
      <c r="F8">
        <v>1561</v>
      </c>
      <c r="G8">
        <v>59</v>
      </c>
      <c r="I8">
        <v>98</v>
      </c>
      <c r="J8">
        <v>47</v>
      </c>
      <c r="K8">
        <v>4</v>
      </c>
      <c r="L8">
        <v>16</v>
      </c>
      <c r="M8">
        <f>SUM(progress_assignment_fd68e454_ba45_4b85_8205_f3bf777ded24_sulteng_6_Juli_2026[[#This Row],[OPEN]:[REJECTED BY Admin Kabupaten]])</f>
        <v>111603</v>
      </c>
      <c r="N8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33043</v>
      </c>
      <c r="O8" s="2">
        <f>progress_assignment_fd68e454_ba45_4b85_8205_f3bf777ded24_sulteng_6_Juli_2026[[#This Row],[Not Draft + Open]]/progress_assignment_fd68e454_ba45_4b85_8205_f3bf777ded24_sulteng_6_Juli_2026[[#This Row],[Total]]*100</f>
        <v>29.607627035115542</v>
      </c>
      <c r="P8">
        <f>RANK(progress_assignment_fd68e454_ba45_4b85_8205_f3bf777ded24_sulteng_6_Juli_2026[[#This Row],[Persentase]],progress_assignment_fd68e454_ba45_4b85_8205_f3bf777ded24_sulteng_6_Juli_2026[Persentase],0)</f>
        <v>7</v>
      </c>
    </row>
    <row r="9" spans="1:16" x14ac:dyDescent="0.3">
      <c r="A9">
        <v>7205</v>
      </c>
      <c r="B9">
        <v>79542</v>
      </c>
      <c r="C9">
        <v>25074</v>
      </c>
      <c r="D9">
        <v>7441</v>
      </c>
      <c r="E9">
        <v>2336</v>
      </c>
      <c r="F9">
        <v>676</v>
      </c>
      <c r="G9">
        <v>70</v>
      </c>
      <c r="I9">
        <v>38</v>
      </c>
      <c r="J9">
        <v>5</v>
      </c>
      <c r="K9">
        <v>2</v>
      </c>
      <c r="L9">
        <v>28</v>
      </c>
      <c r="M9">
        <f>SUM(progress_assignment_fd68e454_ba45_4b85_8205_f3bf777ded24_sulteng_6_Juli_2026[[#This Row],[OPEN]:[REJECTED BY Admin Kabupaten]])</f>
        <v>115212</v>
      </c>
      <c r="N9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33334</v>
      </c>
      <c r="O9" s="2">
        <f>progress_assignment_fd68e454_ba45_4b85_8205_f3bf777ded24_sulteng_6_Juli_2026[[#This Row],[Not Draft + Open]]/progress_assignment_fd68e454_ba45_4b85_8205_f3bf777ded24_sulteng_6_Juli_2026[[#This Row],[Total]]*100</f>
        <v>28.932750060757563</v>
      </c>
      <c r="P9">
        <f>RANK(progress_assignment_fd68e454_ba45_4b85_8205_f3bf777ded24_sulteng_6_Juli_2026[[#This Row],[Persentase]],progress_assignment_fd68e454_ba45_4b85_8205_f3bf777ded24_sulteng_6_Juli_2026[Persentase],0)</f>
        <v>8</v>
      </c>
    </row>
    <row r="10" spans="1:16" x14ac:dyDescent="0.3">
      <c r="A10">
        <v>7206</v>
      </c>
      <c r="B10">
        <v>57736</v>
      </c>
      <c r="C10">
        <v>12803</v>
      </c>
      <c r="D10">
        <v>10609</v>
      </c>
      <c r="E10">
        <v>2364</v>
      </c>
      <c r="F10">
        <v>766</v>
      </c>
      <c r="G10">
        <v>117</v>
      </c>
      <c r="I10">
        <v>85</v>
      </c>
      <c r="K10">
        <v>3</v>
      </c>
      <c r="M10">
        <f>SUM(progress_assignment_fd68e454_ba45_4b85_8205_f3bf777ded24_sulteng_6_Juli_2026[[#This Row],[OPEN]:[REJECTED BY Admin Kabupaten]])</f>
        <v>84483</v>
      </c>
      <c r="N10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24383</v>
      </c>
      <c r="O10" s="2">
        <f>progress_assignment_fd68e454_ba45_4b85_8205_f3bf777ded24_sulteng_6_Juli_2026[[#This Row],[Not Draft + Open]]/progress_assignment_fd68e454_ba45_4b85_8205_f3bf777ded24_sulteng_6_Juli_2026[[#This Row],[Total]]*100</f>
        <v>28.861427742859508</v>
      </c>
      <c r="P10">
        <f>RANK(progress_assignment_fd68e454_ba45_4b85_8205_f3bf777ded24_sulteng_6_Juli_2026[[#This Row],[Persentase]],progress_assignment_fd68e454_ba45_4b85_8205_f3bf777ded24_sulteng_6_Juli_2026[Persentase],0)</f>
        <v>9</v>
      </c>
    </row>
    <row r="11" spans="1:16" x14ac:dyDescent="0.3">
      <c r="A11">
        <v>7207</v>
      </c>
      <c r="B11">
        <v>41722</v>
      </c>
      <c r="C11">
        <v>5658</v>
      </c>
      <c r="D11">
        <v>10283</v>
      </c>
      <c r="E11">
        <v>2621</v>
      </c>
      <c r="F11">
        <v>1320</v>
      </c>
      <c r="G11">
        <v>15</v>
      </c>
      <c r="I11">
        <v>35</v>
      </c>
      <c r="J11">
        <v>46</v>
      </c>
      <c r="K11">
        <v>2</v>
      </c>
      <c r="L11">
        <v>3</v>
      </c>
      <c r="M11">
        <f>SUM(progress_assignment_fd68e454_ba45_4b85_8205_f3bf777ded24_sulteng_6_Juli_2026[[#This Row],[OPEN]:[REJECTED BY Admin Kabupaten]])</f>
        <v>61705</v>
      </c>
      <c r="N11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17362</v>
      </c>
      <c r="O11" s="2">
        <f>progress_assignment_fd68e454_ba45_4b85_8205_f3bf777ded24_sulteng_6_Juli_2026[[#This Row],[Not Draft + Open]]/progress_assignment_fd68e454_ba45_4b85_8205_f3bf777ded24_sulteng_6_Juli_2026[[#This Row],[Total]]*100</f>
        <v>28.137103962401749</v>
      </c>
      <c r="P11">
        <f>RANK(progress_assignment_fd68e454_ba45_4b85_8205_f3bf777ded24_sulteng_6_Juli_2026[[#This Row],[Persentase]],progress_assignment_fd68e454_ba45_4b85_8205_f3bf777ded24_sulteng_6_Juli_2026[Persentase],0)</f>
        <v>10</v>
      </c>
    </row>
    <row r="12" spans="1:16" x14ac:dyDescent="0.3">
      <c r="A12">
        <v>7212</v>
      </c>
      <c r="B12">
        <v>33722</v>
      </c>
      <c r="C12">
        <v>5146</v>
      </c>
      <c r="D12">
        <v>4762</v>
      </c>
      <c r="E12">
        <v>858</v>
      </c>
      <c r="F12">
        <v>634</v>
      </c>
      <c r="G12">
        <v>18</v>
      </c>
      <c r="I12">
        <v>21</v>
      </c>
      <c r="J12">
        <v>1</v>
      </c>
      <c r="M12">
        <f>SUM(progress_assignment_fd68e454_ba45_4b85_8205_f3bf777ded24_sulteng_6_Juli_2026[[#This Row],[OPEN]:[REJECTED BY Admin Kabupaten]])</f>
        <v>45162</v>
      </c>
      <c r="N12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10582</v>
      </c>
      <c r="O12" s="2">
        <f>progress_assignment_fd68e454_ba45_4b85_8205_f3bf777ded24_sulteng_6_Juli_2026[[#This Row],[Not Draft + Open]]/progress_assignment_fd68e454_ba45_4b85_8205_f3bf777ded24_sulteng_6_Juli_2026[[#This Row],[Total]]*100</f>
        <v>23.431203223949339</v>
      </c>
      <c r="P12">
        <f>RANK(progress_assignment_fd68e454_ba45_4b85_8205_f3bf777ded24_sulteng_6_Juli_2026[[#This Row],[Persentase]],progress_assignment_fd68e454_ba45_4b85_8205_f3bf777ded24_sulteng_6_Juli_2026[Persentase],0)</f>
        <v>11</v>
      </c>
    </row>
    <row r="13" spans="1:16" x14ac:dyDescent="0.3">
      <c r="A13">
        <v>7203</v>
      </c>
      <c r="B13">
        <v>40761</v>
      </c>
      <c r="C13">
        <v>4290</v>
      </c>
      <c r="D13">
        <v>7419</v>
      </c>
      <c r="E13">
        <v>2122</v>
      </c>
      <c r="F13">
        <v>310</v>
      </c>
      <c r="G13">
        <v>5</v>
      </c>
      <c r="I13">
        <v>23</v>
      </c>
      <c r="K13">
        <v>1</v>
      </c>
      <c r="L13">
        <v>1</v>
      </c>
      <c r="M13">
        <f>SUM(progress_assignment_fd68e454_ba45_4b85_8205_f3bf777ded24_sulteng_6_Juli_2026[[#This Row],[OPEN]:[REJECTED BY Admin Kabupaten]])</f>
        <v>54932</v>
      </c>
      <c r="N13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12049</v>
      </c>
      <c r="O13" s="2">
        <f>progress_assignment_fd68e454_ba45_4b85_8205_f3bf777ded24_sulteng_6_Juli_2026[[#This Row],[Not Draft + Open]]/progress_assignment_fd68e454_ba45_4b85_8205_f3bf777ded24_sulteng_6_Juli_2026[[#This Row],[Total]]*100</f>
        <v>21.93439161144688</v>
      </c>
      <c r="P13">
        <f>RANK(progress_assignment_fd68e454_ba45_4b85_8205_f3bf777ded24_sulteng_6_Juli_2026[[#This Row],[Persentase]],progress_assignment_fd68e454_ba45_4b85_8205_f3bf777ded24_sulteng_6_Juli_2026[Persentase],0)</f>
        <v>12</v>
      </c>
    </row>
    <row r="14" spans="1:16" x14ac:dyDescent="0.3">
      <c r="A14">
        <v>7271</v>
      </c>
      <c r="B14">
        <v>139087</v>
      </c>
      <c r="C14">
        <v>15720</v>
      </c>
      <c r="D14">
        <v>15108</v>
      </c>
      <c r="E14">
        <v>8995</v>
      </c>
      <c r="F14">
        <v>1145</v>
      </c>
      <c r="G14">
        <v>660</v>
      </c>
      <c r="H14">
        <v>166</v>
      </c>
      <c r="I14">
        <v>41</v>
      </c>
      <c r="J14">
        <v>26</v>
      </c>
      <c r="K14">
        <v>10</v>
      </c>
      <c r="M14">
        <f>SUM(progress_assignment_fd68e454_ba45_4b85_8205_f3bf777ded24_sulteng_6_Juli_2026[[#This Row],[OPEN]:[REJECTED BY Admin Kabupaten]])</f>
        <v>180958</v>
      </c>
      <c r="N14">
        <f>progress_assignment_fd68e454_ba45_4b85_8205_f3bf777ded24_sulteng_6_Juli_2026[[#This Row],[REJECTED BY Admin Kabupaten]]+progress_assignment_fd68e454_ba45_4b85_8205_f3bf777ded24_sulteng_6_Juli_2026[[#This Row],[EDITED BY Pengawas]]+progress_assignment_fd68e454_ba45_4b85_8205_f3bf777ded24_sulteng_6_Juli_2026[[#This Row],[SUBMITTED RESPONDENT]]+progress_assignment_fd68e454_ba45_4b85_8205_f3bf777ded24_sulteng_6_Juli_2026[[#This Row],[REVOKED BY Pengawas]]+progress_assignment_fd68e454_ba45_4b85_8205_f3bf777ded24_sulteng_6_Juli_2026[[#This Row],[COMPLETED BY Admin Kabupaten]]+progress_assignment_fd68e454_ba45_4b85_8205_f3bf777ded24_sulteng_6_Juli_2026[[#This Row],[EDITED BY Admin Kabupaten]]+progress_assignment_fd68e454_ba45_4b85_8205_f3bf777ded24_sulteng_6_Juli_2026[[#This Row],[REJECTED BY Pengawas]]+progress_assignment_fd68e454_ba45_4b85_8205_f3bf777ded24_sulteng_6_Juli_2026[[#This Row],[SUBMITTED BY Pencacah]]+progress_assignment_fd68e454_ba45_4b85_8205_f3bf777ded24_sulteng_6_Juli_2026[[#This Row],[APPROVED BY Pengawas]]</f>
        <v>32876</v>
      </c>
      <c r="O14" s="2">
        <f>progress_assignment_fd68e454_ba45_4b85_8205_f3bf777ded24_sulteng_6_Juli_2026[[#This Row],[Not Draft + Open]]/progress_assignment_fd68e454_ba45_4b85_8205_f3bf777ded24_sulteng_6_Juli_2026[[#This Row],[Total]]*100</f>
        <v>18.167751632975605</v>
      </c>
      <c r="P14">
        <f>RANK(progress_assignment_fd68e454_ba45_4b85_8205_f3bf777ded24_sulteng_6_Juli_2026[[#This Row],[Persentase]],progress_assignment_fd68e454_ba45_4b85_8205_f3bf777ded24_sulteng_6_Juli_2026[Persentase],0)</f>
        <v>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168AD-62F9-4DBE-9FAD-7B8846E2C95A}">
  <dimension ref="A1:P17"/>
  <sheetViews>
    <sheetView workbookViewId="0">
      <selection activeCell="O17" sqref="O17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27.88671875" hidden="1" customWidth="1"/>
    <col min="8" max="8" width="32.44140625" hidden="1" customWidth="1"/>
    <col min="9" max="9" width="22.88671875" hidden="1" customWidth="1"/>
    <col min="10" max="10" width="25.44140625" hidden="1" customWidth="1"/>
    <col min="11" max="11" width="20.88671875" hidden="1" customWidth="1"/>
    <col min="12" max="12" width="30" hidden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14</v>
      </c>
      <c r="P1" t="s">
        <v>15</v>
      </c>
    </row>
    <row r="2" spans="1:16" x14ac:dyDescent="0.3">
      <c r="A2">
        <v>7201</v>
      </c>
      <c r="B2">
        <v>29849</v>
      </c>
      <c r="C2">
        <v>7772</v>
      </c>
      <c r="D2">
        <v>7798</v>
      </c>
      <c r="E2">
        <v>1709</v>
      </c>
      <c r="F2">
        <v>929</v>
      </c>
      <c r="G2">
        <v>36</v>
      </c>
      <c r="I2">
        <v>40</v>
      </c>
      <c r="J2">
        <v>95</v>
      </c>
      <c r="K2">
        <v>1</v>
      </c>
      <c r="M2">
        <f>SUM(progress_assignment_fd68e454_ba45_4b85_8205_f3bf777ded24__3[[#This Row],[OPEN]:[REJECTED BY Admin Kabupaten]])</f>
        <v>48229</v>
      </c>
      <c r="N2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16671</v>
      </c>
      <c r="O2" s="2">
        <f>progress_assignment_fd68e454_ba45_4b85_8205_f3bf777ded24__3[[#This Row],[Not Draft + Open]]/progress_assignment_fd68e454_ba45_4b85_8205_f3bf777ded24__3[[#This Row],[Total]]*100</f>
        <v>34.566339754089867</v>
      </c>
      <c r="P2">
        <f>RANK(progress_assignment_fd68e454_ba45_4b85_8205_f3bf777ded24__3[[#This Row],[Persentase]],progress_assignment_fd68e454_ba45_4b85_8205_f3bf777ded24__3[Persentase],0)</f>
        <v>2</v>
      </c>
    </row>
    <row r="3" spans="1:16" x14ac:dyDescent="0.3">
      <c r="A3">
        <v>7202</v>
      </c>
      <c r="B3">
        <v>98488</v>
      </c>
      <c r="C3">
        <v>10208</v>
      </c>
      <c r="D3">
        <v>37484</v>
      </c>
      <c r="E3">
        <v>4282</v>
      </c>
      <c r="F3">
        <v>2000</v>
      </c>
      <c r="G3">
        <v>15</v>
      </c>
      <c r="I3">
        <v>41</v>
      </c>
      <c r="J3">
        <v>4</v>
      </c>
      <c r="K3">
        <v>4</v>
      </c>
      <c r="L3">
        <v>1</v>
      </c>
      <c r="M3">
        <f>SUM(progress_assignment_fd68e454_ba45_4b85_8205_f3bf777ded24__3[[#This Row],[OPEN]:[REJECTED BY Admin Kabupaten]])</f>
        <v>152527</v>
      </c>
      <c r="N3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49757</v>
      </c>
      <c r="O3" s="2">
        <f>progress_assignment_fd68e454_ba45_4b85_8205_f3bf777ded24__3[[#This Row],[Not Draft + Open]]/progress_assignment_fd68e454_ba45_4b85_8205_f3bf777ded24__3[[#This Row],[Total]]*100</f>
        <v>32.621765326794602</v>
      </c>
      <c r="P3">
        <f>RANK(progress_assignment_fd68e454_ba45_4b85_8205_f3bf777ded24__3[[#This Row],[Persentase]],progress_assignment_fd68e454_ba45_4b85_8205_f3bf777ded24__3[Persentase],0)</f>
        <v>5</v>
      </c>
    </row>
    <row r="4" spans="1:16" x14ac:dyDescent="0.3">
      <c r="A4">
        <v>7203</v>
      </c>
      <c r="B4">
        <v>40261</v>
      </c>
      <c r="C4">
        <v>4542</v>
      </c>
      <c r="D4">
        <v>7926</v>
      </c>
      <c r="E4">
        <v>2367</v>
      </c>
      <c r="F4">
        <v>294</v>
      </c>
      <c r="G4">
        <v>17</v>
      </c>
      <c r="I4">
        <v>25</v>
      </c>
      <c r="K4">
        <v>1</v>
      </c>
      <c r="L4">
        <v>3</v>
      </c>
      <c r="M4">
        <f>SUM(progress_assignment_fd68e454_ba45_4b85_8205_f3bf777ded24__3[[#This Row],[OPEN]:[REJECTED BY Admin Kabupaten]])</f>
        <v>55436</v>
      </c>
      <c r="N4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12808</v>
      </c>
      <c r="O4" s="2">
        <f>progress_assignment_fd68e454_ba45_4b85_8205_f3bf777ded24__3[[#This Row],[Not Draft + Open]]/progress_assignment_fd68e454_ba45_4b85_8205_f3bf777ded24__3[[#This Row],[Total]]*100</f>
        <v>23.104120066382855</v>
      </c>
      <c r="P4">
        <f>RANK(progress_assignment_fd68e454_ba45_4b85_8205_f3bf777ded24__3[[#This Row],[Persentase]],progress_assignment_fd68e454_ba45_4b85_8205_f3bf777ded24__3[Persentase],0)</f>
        <v>12</v>
      </c>
    </row>
    <row r="5" spans="1:16" x14ac:dyDescent="0.3">
      <c r="A5">
        <v>7204</v>
      </c>
      <c r="B5">
        <v>73524</v>
      </c>
      <c r="C5">
        <v>13808</v>
      </c>
      <c r="D5">
        <v>19668</v>
      </c>
      <c r="E5">
        <v>3220</v>
      </c>
      <c r="F5">
        <v>1676</v>
      </c>
      <c r="G5">
        <v>68</v>
      </c>
      <c r="I5">
        <v>56</v>
      </c>
      <c r="J5">
        <v>47</v>
      </c>
      <c r="K5">
        <v>3</v>
      </c>
      <c r="L5">
        <v>16</v>
      </c>
      <c r="M5">
        <f>SUM(progress_assignment_fd68e454_ba45_4b85_8205_f3bf777ded24__3[[#This Row],[OPEN]:[REJECTED BY Admin Kabupaten]])</f>
        <v>112086</v>
      </c>
      <c r="N5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35342</v>
      </c>
      <c r="O5" s="2">
        <f>progress_assignment_fd68e454_ba45_4b85_8205_f3bf777ded24__3[[#This Row],[Not Draft + Open]]/progress_assignment_fd68e454_ba45_4b85_8205_f3bf777ded24__3[[#This Row],[Total]]*100</f>
        <v>31.531145727387898</v>
      </c>
      <c r="P5">
        <f>RANK(progress_assignment_fd68e454_ba45_4b85_8205_f3bf777ded24__3[[#This Row],[Persentase]],progress_assignment_fd68e454_ba45_4b85_8205_f3bf777ded24__3[Persentase],0)</f>
        <v>7</v>
      </c>
    </row>
    <row r="6" spans="1:16" x14ac:dyDescent="0.3">
      <c r="A6">
        <v>7205</v>
      </c>
      <c r="B6">
        <v>77342</v>
      </c>
      <c r="C6">
        <v>27120</v>
      </c>
      <c r="D6">
        <v>8098</v>
      </c>
      <c r="E6">
        <v>2413</v>
      </c>
      <c r="F6">
        <v>762</v>
      </c>
      <c r="G6">
        <v>79</v>
      </c>
      <c r="I6">
        <v>46</v>
      </c>
      <c r="J6">
        <v>5</v>
      </c>
      <c r="K6">
        <v>1</v>
      </c>
      <c r="L6">
        <v>33</v>
      </c>
      <c r="M6">
        <f>SUM(progress_assignment_fd68e454_ba45_4b85_8205_f3bf777ded24__3[[#This Row],[OPEN]:[REJECTED BY Admin Kabupaten]])</f>
        <v>115899</v>
      </c>
      <c r="N6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36144</v>
      </c>
      <c r="O6" s="2">
        <f>progress_assignment_fd68e454_ba45_4b85_8205_f3bf777ded24__3[[#This Row],[Not Draft + Open]]/progress_assignment_fd68e454_ba45_4b85_8205_f3bf777ded24__3[[#This Row],[Total]]*100</f>
        <v>31.185773820309059</v>
      </c>
      <c r="P6">
        <f>RANK(progress_assignment_fd68e454_ba45_4b85_8205_f3bf777ded24__3[[#This Row],[Persentase]],progress_assignment_fd68e454_ba45_4b85_8205_f3bf777ded24__3[Persentase],0)</f>
        <v>8</v>
      </c>
    </row>
    <row r="7" spans="1:16" x14ac:dyDescent="0.3">
      <c r="A7">
        <v>7206</v>
      </c>
      <c r="B7">
        <v>56235</v>
      </c>
      <c r="C7">
        <v>14246</v>
      </c>
      <c r="D7">
        <v>11018</v>
      </c>
      <c r="E7">
        <v>2589</v>
      </c>
      <c r="F7">
        <v>765</v>
      </c>
      <c r="G7">
        <v>167</v>
      </c>
      <c r="I7">
        <v>80</v>
      </c>
      <c r="K7">
        <v>3</v>
      </c>
      <c r="M7">
        <f>SUM(progress_assignment_fd68e454_ba45_4b85_8205_f3bf777ded24__3[[#This Row],[OPEN]:[REJECTED BY Admin Kabupaten]])</f>
        <v>85103</v>
      </c>
      <c r="N7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26279</v>
      </c>
      <c r="O7" s="2">
        <f>progress_assignment_fd68e454_ba45_4b85_8205_f3bf777ded24__3[[#This Row],[Not Draft + Open]]/progress_assignment_fd68e454_ba45_4b85_8205_f3bf777ded24__3[[#This Row],[Total]]*100</f>
        <v>30.879052442334583</v>
      </c>
      <c r="P7">
        <f>RANK(progress_assignment_fd68e454_ba45_4b85_8205_f3bf777ded24__3[[#This Row],[Persentase]],progress_assignment_fd68e454_ba45_4b85_8205_f3bf777ded24__3[Persentase],0)</f>
        <v>9</v>
      </c>
    </row>
    <row r="8" spans="1:16" x14ac:dyDescent="0.3">
      <c r="A8">
        <v>7207</v>
      </c>
      <c r="B8">
        <v>40472</v>
      </c>
      <c r="C8">
        <v>6463</v>
      </c>
      <c r="D8">
        <v>10922</v>
      </c>
      <c r="E8">
        <v>2689</v>
      </c>
      <c r="F8">
        <v>1370</v>
      </c>
      <c r="G8">
        <v>25</v>
      </c>
      <c r="I8">
        <v>32</v>
      </c>
      <c r="J8">
        <v>46</v>
      </c>
      <c r="K8">
        <v>2</v>
      </c>
      <c r="L8">
        <v>3</v>
      </c>
      <c r="M8">
        <f>SUM(progress_assignment_fd68e454_ba45_4b85_8205_f3bf777ded24__3[[#This Row],[OPEN]:[REJECTED BY Admin Kabupaten]])</f>
        <v>62024</v>
      </c>
      <c r="N8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18863</v>
      </c>
      <c r="O8" s="2">
        <f>progress_assignment_fd68e454_ba45_4b85_8205_f3bf777ded24__3[[#This Row],[Not Draft + Open]]/progress_assignment_fd68e454_ba45_4b85_8205_f3bf777ded24__3[[#This Row],[Total]]*100</f>
        <v>30.412420998323231</v>
      </c>
      <c r="P8">
        <f>RANK(progress_assignment_fd68e454_ba45_4b85_8205_f3bf777ded24__3[[#This Row],[Persentase]],progress_assignment_fd68e454_ba45_4b85_8205_f3bf777ded24__3[Persentase],0)</f>
        <v>10</v>
      </c>
    </row>
    <row r="9" spans="1:16" x14ac:dyDescent="0.3">
      <c r="A9">
        <v>7208</v>
      </c>
      <c r="B9">
        <v>117403</v>
      </c>
      <c r="C9">
        <v>24499</v>
      </c>
      <c r="D9">
        <v>34147</v>
      </c>
      <c r="E9">
        <v>3292</v>
      </c>
      <c r="F9">
        <v>2410</v>
      </c>
      <c r="G9">
        <v>22</v>
      </c>
      <c r="H9">
        <v>3</v>
      </c>
      <c r="I9">
        <v>110</v>
      </c>
      <c r="J9">
        <v>5</v>
      </c>
      <c r="K9">
        <v>14</v>
      </c>
      <c r="M9">
        <f>SUM(progress_assignment_fd68e454_ba45_4b85_8205_f3bf777ded24__3[[#This Row],[OPEN]:[REJECTED BY Admin Kabupaten]])</f>
        <v>181905</v>
      </c>
      <c r="N9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61210</v>
      </c>
      <c r="O9" s="2">
        <f>progress_assignment_fd68e454_ba45_4b85_8205_f3bf777ded24__3[[#This Row],[Not Draft + Open]]/progress_assignment_fd68e454_ba45_4b85_8205_f3bf777ded24__3[[#This Row],[Total]]*100</f>
        <v>33.649432396030896</v>
      </c>
      <c r="P9">
        <f>RANK(progress_assignment_fd68e454_ba45_4b85_8205_f3bf777ded24__3[[#This Row],[Persentase]],progress_assignment_fd68e454_ba45_4b85_8205_f3bf777ded24__3[Persentase],0)</f>
        <v>4</v>
      </c>
    </row>
    <row r="10" spans="1:16" x14ac:dyDescent="0.3">
      <c r="A10">
        <v>7209</v>
      </c>
      <c r="B10">
        <v>40475</v>
      </c>
      <c r="C10">
        <v>10456</v>
      </c>
      <c r="D10">
        <v>8949</v>
      </c>
      <c r="E10">
        <v>1257</v>
      </c>
      <c r="F10">
        <v>1900</v>
      </c>
      <c r="I10">
        <v>117</v>
      </c>
      <c r="J10">
        <v>4</v>
      </c>
      <c r="K10">
        <v>4</v>
      </c>
      <c r="M10">
        <f>SUM(progress_assignment_fd68e454_ba45_4b85_8205_f3bf777ded24__3[[#This Row],[OPEN]:[REJECTED BY Admin Kabupaten]])</f>
        <v>63162</v>
      </c>
      <c r="N10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21430</v>
      </c>
      <c r="O10" s="2">
        <f>progress_assignment_fd68e454_ba45_4b85_8205_f3bf777ded24__3[[#This Row],[Not Draft + Open]]/progress_assignment_fd68e454_ba45_4b85_8205_f3bf777ded24__3[[#This Row],[Total]]*100</f>
        <v>33.928627972515116</v>
      </c>
      <c r="P10">
        <f>RANK(progress_assignment_fd68e454_ba45_4b85_8205_f3bf777ded24__3[[#This Row],[Persentase]],progress_assignment_fd68e454_ba45_4b85_8205_f3bf777ded24__3[Persentase],0)</f>
        <v>3</v>
      </c>
    </row>
    <row r="11" spans="1:16" x14ac:dyDescent="0.3">
      <c r="A11">
        <v>7210</v>
      </c>
      <c r="B11">
        <v>74772</v>
      </c>
      <c r="C11">
        <v>18027</v>
      </c>
      <c r="D11">
        <v>17247</v>
      </c>
      <c r="E11">
        <v>1947</v>
      </c>
      <c r="F11">
        <v>1375</v>
      </c>
      <c r="H11">
        <v>2</v>
      </c>
      <c r="I11">
        <v>77</v>
      </c>
      <c r="J11">
        <v>8</v>
      </c>
      <c r="K11">
        <v>6</v>
      </c>
      <c r="L11">
        <v>4</v>
      </c>
      <c r="M11">
        <f>SUM(progress_assignment_fd68e454_ba45_4b85_8205_f3bf777ded24__3[[#This Row],[OPEN]:[REJECTED BY Admin Kabupaten]])</f>
        <v>113465</v>
      </c>
      <c r="N11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36746</v>
      </c>
      <c r="O11" s="2">
        <f>progress_assignment_fd68e454_ba45_4b85_8205_f3bf777ded24__3[[#This Row],[Not Draft + Open]]/progress_assignment_fd68e454_ba45_4b85_8205_f3bf777ded24__3[[#This Row],[Total]]*100</f>
        <v>32.385317058123654</v>
      </c>
      <c r="P11">
        <f>RANK(progress_assignment_fd68e454_ba45_4b85_8205_f3bf777ded24__3[[#This Row],[Persentase]],progress_assignment_fd68e454_ba45_4b85_8205_f3bf777ded24__3[Persentase],0)</f>
        <v>6</v>
      </c>
    </row>
    <row r="12" spans="1:16" x14ac:dyDescent="0.3">
      <c r="A12">
        <v>7211</v>
      </c>
      <c r="B12">
        <v>18429</v>
      </c>
      <c r="C12">
        <v>9733</v>
      </c>
      <c r="D12">
        <v>1248</v>
      </c>
      <c r="E12">
        <v>232</v>
      </c>
      <c r="F12">
        <v>126</v>
      </c>
      <c r="I12">
        <v>16</v>
      </c>
      <c r="J12">
        <v>24</v>
      </c>
      <c r="K12">
        <v>1</v>
      </c>
      <c r="M12">
        <f>SUM(progress_assignment_fd68e454_ba45_4b85_8205_f3bf777ded24__3[[#This Row],[OPEN]:[REJECTED BY Admin Kabupaten]])</f>
        <v>29809</v>
      </c>
      <c r="N12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11148</v>
      </c>
      <c r="O12" s="2">
        <f>progress_assignment_fd68e454_ba45_4b85_8205_f3bf777ded24__3[[#This Row],[Not Draft + Open]]/progress_assignment_fd68e454_ba45_4b85_8205_f3bf777ded24__3[[#This Row],[Total]]*100</f>
        <v>37.398101244590556</v>
      </c>
      <c r="P12">
        <f>RANK(progress_assignment_fd68e454_ba45_4b85_8205_f3bf777ded24__3[[#This Row],[Persentase]],O12:O23,0)</f>
        <v>1</v>
      </c>
    </row>
    <row r="13" spans="1:16" x14ac:dyDescent="0.3">
      <c r="A13">
        <v>7212</v>
      </c>
      <c r="B13">
        <v>32902</v>
      </c>
      <c r="C13">
        <v>5808</v>
      </c>
      <c r="D13">
        <v>5214</v>
      </c>
      <c r="E13">
        <v>859</v>
      </c>
      <c r="F13">
        <v>573</v>
      </c>
      <c r="G13">
        <v>18</v>
      </c>
      <c r="I13">
        <v>16</v>
      </c>
      <c r="J13">
        <v>1</v>
      </c>
      <c r="M13">
        <f>SUM(progress_assignment_fd68e454_ba45_4b85_8205_f3bf777ded24__3[[#This Row],[OPEN]:[REJECTED BY Admin Kabupaten]])</f>
        <v>45391</v>
      </c>
      <c r="N13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11630</v>
      </c>
      <c r="O13" s="2">
        <f>progress_assignment_fd68e454_ba45_4b85_8205_f3bf777ded24__3[[#This Row],[Not Draft + Open]]/progress_assignment_fd68e454_ba45_4b85_8205_f3bf777ded24__3[[#This Row],[Total]]*100</f>
        <v>25.621819303386133</v>
      </c>
      <c r="P13">
        <f>RANK(progress_assignment_fd68e454_ba45_4b85_8205_f3bf777ded24__3[[#This Row],[Persentase]],progress_assignment_fd68e454_ba45_4b85_8205_f3bf777ded24__3[Persentase],0)</f>
        <v>11</v>
      </c>
    </row>
    <row r="14" spans="1:16" x14ac:dyDescent="0.3">
      <c r="A14">
        <v>7271</v>
      </c>
      <c r="B14">
        <v>137666</v>
      </c>
      <c r="C14">
        <v>16811</v>
      </c>
      <c r="D14">
        <v>16543</v>
      </c>
      <c r="E14">
        <v>8961</v>
      </c>
      <c r="F14">
        <v>990</v>
      </c>
      <c r="G14">
        <v>756</v>
      </c>
      <c r="H14">
        <v>166</v>
      </c>
      <c r="I14">
        <v>39</v>
      </c>
      <c r="J14">
        <v>25</v>
      </c>
      <c r="K14">
        <v>10</v>
      </c>
      <c r="M14">
        <f>SUM(progress_assignment_fd68e454_ba45_4b85_8205_f3bf777ded24__3[[#This Row],[OPEN]:[REJECTED BY Admin Kabupaten]])</f>
        <v>181967</v>
      </c>
      <c r="N14">
        <f>progress_assignment_fd68e454_ba45_4b85_8205_f3bf777ded24__3[[#This Row],[REJECTED BY Admin Kabupaten]]+progress_assignment_fd68e454_ba45_4b85_8205_f3bf777ded24__3[[#This Row],[EDITED BY Pengawas]]+progress_assignment_fd68e454_ba45_4b85_8205_f3bf777ded24__3[[#This Row],[SUBMITTED RESPONDENT]]+progress_assignment_fd68e454_ba45_4b85_8205_f3bf777ded24__3[[#This Row],[REVOKED BY Pengawas]]+progress_assignment_fd68e454_ba45_4b85_8205_f3bf777ded24__3[[#This Row],[COMPLETED BY Admin Kabupaten]]+progress_assignment_fd68e454_ba45_4b85_8205_f3bf777ded24__3[[#This Row],[EDITED BY Admin Kabupaten]]+progress_assignment_fd68e454_ba45_4b85_8205_f3bf777ded24__3[[#This Row],[REJECTED BY Pengawas]]+progress_assignment_fd68e454_ba45_4b85_8205_f3bf777ded24__3[[#This Row],[SUBMITTED BY Pencacah]]+progress_assignment_fd68e454_ba45_4b85_8205_f3bf777ded24__3[[#This Row],[APPROVED BY Pengawas]]</f>
        <v>35340</v>
      </c>
      <c r="O14" s="2">
        <f>progress_assignment_fd68e454_ba45_4b85_8205_f3bf777ded24__3[[#This Row],[Not Draft + Open]]/progress_assignment_fd68e454_ba45_4b85_8205_f3bf777ded24__3[[#This Row],[Total]]*100</f>
        <v>19.421103826517996</v>
      </c>
      <c r="P14">
        <f>RANK(progress_assignment_fd68e454_ba45_4b85_8205_f3bf777ded24__3[[#This Row],[Persentase]],progress_assignment_fd68e454_ba45_4b85_8205_f3bf777ded24__3[Persentase],0)</f>
        <v>13</v>
      </c>
    </row>
    <row r="15" spans="1:16" x14ac:dyDescent="0.3">
      <c r="M15" s="3"/>
      <c r="N15" s="3"/>
      <c r="O15" s="2"/>
      <c r="P15" s="3"/>
    </row>
    <row r="17" spans="13:15" x14ac:dyDescent="0.3">
      <c r="M17">
        <f>SUM(M2:M14)</f>
        <v>1247003</v>
      </c>
      <c r="N17">
        <f>SUM(N2:N14)</f>
        <v>373368</v>
      </c>
      <c r="O17" s="2">
        <f>N17/M17*100</f>
        <v>29.941227086061538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BE4C9-8ACB-4CE1-86C9-045CD5529B8E}">
  <dimension ref="A1:Q16"/>
  <sheetViews>
    <sheetView workbookViewId="0">
      <selection activeCell="M1" sqref="M1:P1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27.88671875" hidden="1" customWidth="1"/>
    <col min="8" max="8" width="32.44140625" hidden="1" customWidth="1"/>
    <col min="9" max="9" width="22.88671875" hidden="1" customWidth="1"/>
    <col min="10" max="10" width="25.44140625" hidden="1" customWidth="1"/>
    <col min="11" max="11" width="20.88671875" hidden="1" customWidth="1"/>
    <col min="12" max="12" width="30" hidden="1" customWidth="1"/>
    <col min="17" max="17" width="0" hidden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14</v>
      </c>
      <c r="P1" s="1" t="s">
        <v>16</v>
      </c>
      <c r="Q1" t="s">
        <v>15</v>
      </c>
    </row>
    <row r="2" spans="1:17" x14ac:dyDescent="0.3">
      <c r="A2">
        <v>7201</v>
      </c>
      <c r="B2">
        <v>28856</v>
      </c>
      <c r="C2">
        <v>8556</v>
      </c>
      <c r="D2">
        <v>8150</v>
      </c>
      <c r="E2">
        <v>1801</v>
      </c>
      <c r="F2">
        <v>913</v>
      </c>
      <c r="G2">
        <v>63</v>
      </c>
      <c r="I2">
        <v>35</v>
      </c>
      <c r="J2">
        <v>95</v>
      </c>
      <c r="K2">
        <v>1</v>
      </c>
      <c r="L2">
        <v>13</v>
      </c>
      <c r="M2">
        <f>SUM(progress_assignment_fd68e454_ba45_4b85_8205_f3bf777ded24_8juli[[#This Row],[OPEN]:[REJECTED BY Admin Kabupaten]])</f>
        <v>48483</v>
      </c>
      <c r="N2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17826</v>
      </c>
      <c r="O2" s="2">
        <f>progress_assignment_fd68e454_ba45_4b85_8205_f3bf777ded24_8juli[[#This Row],[Not Draft + Open]]/progress_assignment_fd68e454_ba45_4b85_8205_f3bf777ded24_8juli[[#This Row],[Total]]*100</f>
        <v>36.767526761957797</v>
      </c>
      <c r="P2" s="2">
        <f>progress_assignment_fd68e454_ba45_4b85_8205_f3bf777ded24_8juli[[#This Row],[Persentase]]-progress_assignment_fd68e454_ba45_4b85_8205_f3bf777ded24__3[[#This Row],[Persentase]]</f>
        <v>2.2011870078679294</v>
      </c>
      <c r="Q2">
        <f>RANK(progress_assignment_fd68e454_ba45_4b85_8205_f3bf777ded24_8juli[[#This Row],[Persentase]],progress_assignment_fd68e454_ba45_4b85_8205_f3bf777ded24_8juli[Persentase],0)</f>
        <v>2</v>
      </c>
    </row>
    <row r="3" spans="1:17" x14ac:dyDescent="0.3">
      <c r="A3">
        <v>7202</v>
      </c>
      <c r="B3">
        <v>96138</v>
      </c>
      <c r="C3">
        <v>11802</v>
      </c>
      <c r="D3">
        <v>39018</v>
      </c>
      <c r="E3">
        <v>4237</v>
      </c>
      <c r="F3">
        <v>2020</v>
      </c>
      <c r="G3">
        <v>15</v>
      </c>
      <c r="I3">
        <v>52</v>
      </c>
      <c r="J3">
        <v>4</v>
      </c>
      <c r="K3">
        <v>3</v>
      </c>
      <c r="L3">
        <v>1</v>
      </c>
      <c r="M3">
        <f>SUM(progress_assignment_fd68e454_ba45_4b85_8205_f3bf777ded24_8juli[[#This Row],[OPEN]:[REJECTED BY Admin Kabupaten]])</f>
        <v>153290</v>
      </c>
      <c r="N3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52915</v>
      </c>
      <c r="O3" s="2">
        <f>progress_assignment_fd68e454_ba45_4b85_8205_f3bf777ded24_8juli[[#This Row],[Not Draft + Open]]/progress_assignment_fd68e454_ba45_4b85_8205_f3bf777ded24_8juli[[#This Row],[Total]]*100</f>
        <v>34.519538130341182</v>
      </c>
      <c r="P3" s="2">
        <f>progress_assignment_fd68e454_ba45_4b85_8205_f3bf777ded24_8juli[[#This Row],[Persentase]]-progress_assignment_fd68e454_ba45_4b85_8205_f3bf777ded24__3[[#This Row],[Persentase]]</f>
        <v>1.8977728035465802</v>
      </c>
      <c r="Q3">
        <f>RANK(progress_assignment_fd68e454_ba45_4b85_8205_f3bf777ded24_8juli[[#This Row],[Persentase]],progress_assignment_fd68e454_ba45_4b85_8205_f3bf777ded24_8juli[Persentase],0)</f>
        <v>5</v>
      </c>
    </row>
    <row r="4" spans="1:17" x14ac:dyDescent="0.3">
      <c r="A4">
        <v>7203</v>
      </c>
      <c r="B4">
        <v>39548</v>
      </c>
      <c r="C4">
        <v>4977</v>
      </c>
      <c r="D4">
        <v>8684</v>
      </c>
      <c r="E4">
        <v>2407</v>
      </c>
      <c r="F4">
        <v>247</v>
      </c>
      <c r="G4">
        <v>24</v>
      </c>
      <c r="I4">
        <v>50</v>
      </c>
      <c r="K4">
        <v>1</v>
      </c>
      <c r="L4">
        <v>5</v>
      </c>
      <c r="M4">
        <f>SUM(progress_assignment_fd68e454_ba45_4b85_8205_f3bf777ded24_8juli[[#This Row],[OPEN]:[REJECTED BY Admin Kabupaten]])</f>
        <v>55943</v>
      </c>
      <c r="N4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13988</v>
      </c>
      <c r="O4" s="2">
        <f>progress_assignment_fd68e454_ba45_4b85_8205_f3bf777ded24_8juli[[#This Row],[Not Draft + Open]]/progress_assignment_fd68e454_ba45_4b85_8205_f3bf777ded24_8juli[[#This Row],[Total]]*100</f>
        <v>25.004021950914325</v>
      </c>
      <c r="P4" s="2">
        <f>progress_assignment_fd68e454_ba45_4b85_8205_f3bf777ded24_8juli[[#This Row],[Persentase]]-progress_assignment_fd68e454_ba45_4b85_8205_f3bf777ded24__3[[#This Row],[Persentase]]</f>
        <v>1.8999018845314701</v>
      </c>
      <c r="Q4">
        <f>RANK(progress_assignment_fd68e454_ba45_4b85_8205_f3bf777ded24_8juli[[#This Row],[Persentase]],progress_assignment_fd68e454_ba45_4b85_8205_f3bf777ded24_8juli[Persentase],0)</f>
        <v>12</v>
      </c>
    </row>
    <row r="5" spans="1:17" x14ac:dyDescent="0.3">
      <c r="A5">
        <v>7204</v>
      </c>
      <c r="B5">
        <v>70751</v>
      </c>
      <c r="C5">
        <v>16726</v>
      </c>
      <c r="D5">
        <v>19826</v>
      </c>
      <c r="E5">
        <v>3336</v>
      </c>
      <c r="F5">
        <v>1635</v>
      </c>
      <c r="G5">
        <v>136</v>
      </c>
      <c r="H5">
        <v>3</v>
      </c>
      <c r="I5">
        <v>50</v>
      </c>
      <c r="J5">
        <v>47</v>
      </c>
      <c r="L5">
        <v>16</v>
      </c>
      <c r="M5">
        <f>SUM(progress_assignment_fd68e454_ba45_4b85_8205_f3bf777ded24_8juli[[#This Row],[OPEN]:[REJECTED BY Admin Kabupaten]])</f>
        <v>112526</v>
      </c>
      <c r="N5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38439</v>
      </c>
      <c r="O5" s="2">
        <f>progress_assignment_fd68e454_ba45_4b85_8205_f3bf777ded24_8juli[[#This Row],[Not Draft + Open]]/progress_assignment_fd68e454_ba45_4b85_8205_f3bf777ded24_8juli[[#This Row],[Total]]*100</f>
        <v>34.160105220126901</v>
      </c>
      <c r="P5" s="2">
        <f>progress_assignment_fd68e454_ba45_4b85_8205_f3bf777ded24_8juli[[#This Row],[Persentase]]-progress_assignment_fd68e454_ba45_4b85_8205_f3bf777ded24__3[[#This Row],[Persentase]]</f>
        <v>2.6289594927390034</v>
      </c>
      <c r="Q5">
        <f>RANK(progress_assignment_fd68e454_ba45_4b85_8205_f3bf777ded24_8juli[[#This Row],[Persentase]],progress_assignment_fd68e454_ba45_4b85_8205_f3bf777ded24_8juli[Persentase],0)</f>
        <v>7</v>
      </c>
    </row>
    <row r="6" spans="1:17" x14ac:dyDescent="0.3">
      <c r="A6">
        <v>7205</v>
      </c>
      <c r="B6">
        <v>74787</v>
      </c>
      <c r="C6">
        <v>29256</v>
      </c>
      <c r="D6">
        <v>8993</v>
      </c>
      <c r="E6">
        <v>2426</v>
      </c>
      <c r="F6">
        <v>811</v>
      </c>
      <c r="G6">
        <v>133</v>
      </c>
      <c r="I6">
        <v>50</v>
      </c>
      <c r="J6">
        <v>5</v>
      </c>
      <c r="K6">
        <v>1</v>
      </c>
      <c r="L6">
        <v>54</v>
      </c>
      <c r="M6">
        <f>SUM(progress_assignment_fd68e454_ba45_4b85_8205_f3bf777ded24_8juli[[#This Row],[OPEN]:[REJECTED BY Admin Kabupaten]])</f>
        <v>116516</v>
      </c>
      <c r="N6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39303</v>
      </c>
      <c r="O6" s="2">
        <f>progress_assignment_fd68e454_ba45_4b85_8205_f3bf777ded24_8juli[[#This Row],[Not Draft + Open]]/progress_assignment_fd68e454_ba45_4b85_8205_f3bf777ded24_8juli[[#This Row],[Total]]*100</f>
        <v>33.731847986542626</v>
      </c>
      <c r="P6" s="2">
        <f>progress_assignment_fd68e454_ba45_4b85_8205_f3bf777ded24_8juli[[#This Row],[Persentase]]-progress_assignment_fd68e454_ba45_4b85_8205_f3bf777ded24__3[[#This Row],[Persentase]]</f>
        <v>2.5460741662335664</v>
      </c>
      <c r="Q6">
        <f>RANK(progress_assignment_fd68e454_ba45_4b85_8205_f3bf777ded24_8juli[[#This Row],[Persentase]],progress_assignment_fd68e454_ba45_4b85_8205_f3bf777ded24_8juli[Persentase],0)</f>
        <v>8</v>
      </c>
    </row>
    <row r="7" spans="1:17" x14ac:dyDescent="0.3">
      <c r="A7">
        <v>7206</v>
      </c>
      <c r="B7">
        <v>54425</v>
      </c>
      <c r="C7">
        <v>16031</v>
      </c>
      <c r="D7">
        <v>11611</v>
      </c>
      <c r="E7">
        <v>2658</v>
      </c>
      <c r="F7">
        <v>799</v>
      </c>
      <c r="G7">
        <v>178</v>
      </c>
      <c r="I7">
        <v>74</v>
      </c>
      <c r="K7">
        <v>3</v>
      </c>
      <c r="M7">
        <f>SUM(progress_assignment_fd68e454_ba45_4b85_8205_f3bf777ded24_8juli[[#This Row],[OPEN]:[REJECTED BY Admin Kabupaten]])</f>
        <v>85779</v>
      </c>
      <c r="N7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28696</v>
      </c>
      <c r="O7" s="2">
        <f>progress_assignment_fd68e454_ba45_4b85_8205_f3bf777ded24_8juli[[#This Row],[Not Draft + Open]]/progress_assignment_fd68e454_ba45_4b85_8205_f3bf777ded24_8juli[[#This Row],[Total]]*100</f>
        <v>33.453409342612993</v>
      </c>
      <c r="P7" s="2">
        <f>progress_assignment_fd68e454_ba45_4b85_8205_f3bf777ded24_8juli[[#This Row],[Persentase]]-progress_assignment_fd68e454_ba45_4b85_8205_f3bf777ded24__3[[#This Row],[Persentase]]</f>
        <v>2.5743569002784099</v>
      </c>
      <c r="Q7">
        <f>RANK(progress_assignment_fd68e454_ba45_4b85_8205_f3bf777ded24_8juli[[#This Row],[Persentase]],progress_assignment_fd68e454_ba45_4b85_8205_f3bf777ded24_8juli[Persentase],0)</f>
        <v>9</v>
      </c>
    </row>
    <row r="8" spans="1:17" x14ac:dyDescent="0.3">
      <c r="A8">
        <v>7207</v>
      </c>
      <c r="B8">
        <v>39190</v>
      </c>
      <c r="C8">
        <v>7270</v>
      </c>
      <c r="D8">
        <v>11739</v>
      </c>
      <c r="E8">
        <v>2666</v>
      </c>
      <c r="F8">
        <v>1352</v>
      </c>
      <c r="G8">
        <v>34</v>
      </c>
      <c r="I8">
        <v>32</v>
      </c>
      <c r="J8">
        <v>46</v>
      </c>
      <c r="K8">
        <v>2</v>
      </c>
      <c r="L8">
        <v>5</v>
      </c>
      <c r="M8">
        <f>SUM(progress_assignment_fd68e454_ba45_4b85_8205_f3bf777ded24_8juli[[#This Row],[OPEN]:[REJECTED BY Admin Kabupaten]])</f>
        <v>62336</v>
      </c>
      <c r="N8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20480</v>
      </c>
      <c r="O8" s="2">
        <f>progress_assignment_fd68e454_ba45_4b85_8205_f3bf777ded24_8juli[[#This Row],[Not Draft + Open]]/progress_assignment_fd68e454_ba45_4b85_8205_f3bf777ded24_8juli[[#This Row],[Total]]*100</f>
        <v>32.854209445585212</v>
      </c>
      <c r="P8" s="2">
        <f>progress_assignment_fd68e454_ba45_4b85_8205_f3bf777ded24_8juli[[#This Row],[Persentase]]-progress_assignment_fd68e454_ba45_4b85_8205_f3bf777ded24__3[[#This Row],[Persentase]]</f>
        <v>2.4417884472619811</v>
      </c>
      <c r="Q8">
        <f>RANK(progress_assignment_fd68e454_ba45_4b85_8205_f3bf777ded24_8juli[[#This Row],[Persentase]],progress_assignment_fd68e454_ba45_4b85_8205_f3bf777ded24_8juli[Persentase],0)</f>
        <v>10</v>
      </c>
    </row>
    <row r="9" spans="1:17" x14ac:dyDescent="0.3">
      <c r="A9">
        <v>7208</v>
      </c>
      <c r="B9">
        <v>113946</v>
      </c>
      <c r="C9">
        <v>27051</v>
      </c>
      <c r="D9">
        <v>35860</v>
      </c>
      <c r="E9">
        <v>3243</v>
      </c>
      <c r="F9">
        <v>2341</v>
      </c>
      <c r="G9">
        <v>24</v>
      </c>
      <c r="H9">
        <v>14</v>
      </c>
      <c r="I9">
        <v>92</v>
      </c>
      <c r="J9">
        <v>5</v>
      </c>
      <c r="K9">
        <v>14</v>
      </c>
      <c r="M9">
        <f>SUM(progress_assignment_fd68e454_ba45_4b85_8205_f3bf777ded24_8juli[[#This Row],[OPEN]:[REJECTED BY Admin Kabupaten]])</f>
        <v>182590</v>
      </c>
      <c r="N9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65401</v>
      </c>
      <c r="O9" s="2">
        <f>progress_assignment_fd68e454_ba45_4b85_8205_f3bf777ded24_8juli[[#This Row],[Not Draft + Open]]/progress_assignment_fd68e454_ba45_4b85_8205_f3bf777ded24_8juli[[#This Row],[Total]]*100</f>
        <v>35.818500465523847</v>
      </c>
      <c r="P9" s="2">
        <f>progress_assignment_fd68e454_ba45_4b85_8205_f3bf777ded24_8juli[[#This Row],[Persentase]]-progress_assignment_fd68e454_ba45_4b85_8205_f3bf777ded24__3[[#This Row],[Persentase]]</f>
        <v>2.1690680694929512</v>
      </c>
      <c r="Q9">
        <f>RANK(progress_assignment_fd68e454_ba45_4b85_8205_f3bf777ded24_8juli[[#This Row],[Persentase]],progress_assignment_fd68e454_ba45_4b85_8205_f3bf777ded24_8juli[Persentase],0)</f>
        <v>4</v>
      </c>
    </row>
    <row r="10" spans="1:17" x14ac:dyDescent="0.3">
      <c r="A10">
        <v>7209</v>
      </c>
      <c r="B10">
        <v>39370</v>
      </c>
      <c r="C10">
        <v>11070</v>
      </c>
      <c r="D10">
        <v>9516</v>
      </c>
      <c r="E10">
        <v>1315</v>
      </c>
      <c r="F10">
        <v>1996</v>
      </c>
      <c r="I10">
        <v>124</v>
      </c>
      <c r="J10">
        <v>4</v>
      </c>
      <c r="K10">
        <v>4</v>
      </c>
      <c r="M10">
        <f>SUM(progress_assignment_fd68e454_ba45_4b85_8205_f3bf777ded24_8juli[[#This Row],[OPEN]:[REJECTED BY Admin Kabupaten]])</f>
        <v>63399</v>
      </c>
      <c r="N10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22714</v>
      </c>
      <c r="O10" s="2">
        <f>progress_assignment_fd68e454_ba45_4b85_8205_f3bf777ded24_8juli[[#This Row],[Not Draft + Open]]/progress_assignment_fd68e454_ba45_4b85_8205_f3bf777ded24_8juli[[#This Row],[Total]]*100</f>
        <v>35.827063518352027</v>
      </c>
      <c r="P10" s="2">
        <f>progress_assignment_fd68e454_ba45_4b85_8205_f3bf777ded24_8juli[[#This Row],[Persentase]]-progress_assignment_fd68e454_ba45_4b85_8205_f3bf777ded24__3[[#This Row],[Persentase]]</f>
        <v>1.8984355458369109</v>
      </c>
      <c r="Q10">
        <f>RANK(progress_assignment_fd68e454_ba45_4b85_8205_f3bf777ded24_8juli[[#This Row],[Persentase]],progress_assignment_fd68e454_ba45_4b85_8205_f3bf777ded24_8juli[Persentase],0)</f>
        <v>3</v>
      </c>
    </row>
    <row r="11" spans="1:17" x14ac:dyDescent="0.3">
      <c r="A11">
        <v>7210</v>
      </c>
      <c r="B11">
        <v>72850</v>
      </c>
      <c r="C11">
        <v>19651</v>
      </c>
      <c r="D11">
        <v>17927</v>
      </c>
      <c r="E11">
        <v>1940</v>
      </c>
      <c r="F11">
        <v>1538</v>
      </c>
      <c r="H11">
        <v>2</v>
      </c>
      <c r="I11">
        <v>56</v>
      </c>
      <c r="J11">
        <v>8</v>
      </c>
      <c r="K11">
        <v>5</v>
      </c>
      <c r="L11">
        <v>4</v>
      </c>
      <c r="M11">
        <f>SUM(progress_assignment_fd68e454_ba45_4b85_8205_f3bf777ded24_8juli[[#This Row],[OPEN]:[REJECTED BY Admin Kabupaten]])</f>
        <v>113981</v>
      </c>
      <c r="N11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39191</v>
      </c>
      <c r="O11" s="2">
        <f>progress_assignment_fd68e454_ba45_4b85_8205_f3bf777ded24_8juli[[#This Row],[Not Draft + Open]]/progress_assignment_fd68e454_ba45_4b85_8205_f3bf777ded24_8juli[[#This Row],[Total]]*100</f>
        <v>34.383800808906749</v>
      </c>
      <c r="P11" s="2">
        <f>progress_assignment_fd68e454_ba45_4b85_8205_f3bf777ded24_8juli[[#This Row],[Persentase]]-progress_assignment_fd68e454_ba45_4b85_8205_f3bf777ded24__3[[#This Row],[Persentase]]</f>
        <v>1.9984837507830946</v>
      </c>
      <c r="Q11">
        <f>RANK(progress_assignment_fd68e454_ba45_4b85_8205_f3bf777ded24_8juli[[#This Row],[Persentase]],progress_assignment_fd68e454_ba45_4b85_8205_f3bf777ded24_8juli[Persentase],0)</f>
        <v>6</v>
      </c>
    </row>
    <row r="12" spans="1:17" x14ac:dyDescent="0.3">
      <c r="A12">
        <v>7211</v>
      </c>
      <c r="B12">
        <v>17930</v>
      </c>
      <c r="C12">
        <v>10240</v>
      </c>
      <c r="D12">
        <v>1336</v>
      </c>
      <c r="E12">
        <v>228</v>
      </c>
      <c r="F12">
        <v>125</v>
      </c>
      <c r="I12">
        <v>15</v>
      </c>
      <c r="J12">
        <v>24</v>
      </c>
      <c r="K12">
        <v>1</v>
      </c>
      <c r="M12">
        <f>SUM(progress_assignment_fd68e454_ba45_4b85_8205_f3bf777ded24_8juli[[#This Row],[OPEN]:[REJECTED BY Admin Kabupaten]])</f>
        <v>29899</v>
      </c>
      <c r="N12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11741</v>
      </c>
      <c r="O12" s="2">
        <f>progress_assignment_fd68e454_ba45_4b85_8205_f3bf777ded24_8juli[[#This Row],[Not Draft + Open]]/progress_assignment_fd68e454_ba45_4b85_8205_f3bf777ded24_8juli[[#This Row],[Total]]*100</f>
        <v>39.268871868624366</v>
      </c>
      <c r="P12" s="2">
        <f>progress_assignment_fd68e454_ba45_4b85_8205_f3bf777ded24_8juli[[#This Row],[Persentase]]-progress_assignment_fd68e454_ba45_4b85_8205_f3bf777ded24__3[[#This Row],[Persentase]]</f>
        <v>1.8707706240338098</v>
      </c>
      <c r="Q12">
        <f>RANK(progress_assignment_fd68e454_ba45_4b85_8205_f3bf777ded24_8juli[[#This Row],[Persentase]],progress_assignment_fd68e454_ba45_4b85_8205_f3bf777ded24_8juli[Persentase],0)</f>
        <v>1</v>
      </c>
    </row>
    <row r="13" spans="1:17" x14ac:dyDescent="0.3">
      <c r="A13">
        <v>7212</v>
      </c>
      <c r="B13">
        <v>32401</v>
      </c>
      <c r="C13">
        <v>6273</v>
      </c>
      <c r="D13">
        <v>5416</v>
      </c>
      <c r="E13">
        <v>864</v>
      </c>
      <c r="F13">
        <v>531</v>
      </c>
      <c r="G13">
        <v>18</v>
      </c>
      <c r="I13">
        <v>48</v>
      </c>
      <c r="J13">
        <v>1</v>
      </c>
      <c r="M13">
        <f>SUM(progress_assignment_fd68e454_ba45_4b85_8205_f3bf777ded24_8juli[[#This Row],[OPEN]:[REJECTED BY Admin Kabupaten]])</f>
        <v>45552</v>
      </c>
      <c r="N13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12287</v>
      </c>
      <c r="O13" s="2">
        <f>progress_assignment_fd68e454_ba45_4b85_8205_f3bf777ded24_8juli[[#This Row],[Not Draft + Open]]/progress_assignment_fd68e454_ba45_4b85_8205_f3bf777ded24_8juli[[#This Row],[Total]]*100</f>
        <v>26.973568668774149</v>
      </c>
      <c r="P13" s="2">
        <f>progress_assignment_fd68e454_ba45_4b85_8205_f3bf777ded24_8juli[[#This Row],[Persentase]]-progress_assignment_fd68e454_ba45_4b85_8205_f3bf777ded24__3[[#This Row],[Persentase]]</f>
        <v>1.3517493653880166</v>
      </c>
      <c r="Q13">
        <f>RANK(progress_assignment_fd68e454_ba45_4b85_8205_f3bf777ded24_8juli[[#This Row],[Persentase]],progress_assignment_fd68e454_ba45_4b85_8205_f3bf777ded24_8juli[Persentase],0)</f>
        <v>11</v>
      </c>
    </row>
    <row r="14" spans="1:17" x14ac:dyDescent="0.3">
      <c r="A14">
        <v>7271</v>
      </c>
      <c r="B14">
        <v>135450</v>
      </c>
      <c r="C14">
        <v>18383</v>
      </c>
      <c r="D14">
        <v>17996</v>
      </c>
      <c r="E14">
        <v>8775</v>
      </c>
      <c r="F14">
        <v>1063</v>
      </c>
      <c r="G14">
        <v>875</v>
      </c>
      <c r="H14">
        <v>168</v>
      </c>
      <c r="I14">
        <v>38</v>
      </c>
      <c r="J14">
        <v>26</v>
      </c>
      <c r="K14">
        <v>10</v>
      </c>
      <c r="M14">
        <f>SUM(progress_assignment_fd68e454_ba45_4b85_8205_f3bf777ded24_8juli[[#This Row],[OPEN]:[REJECTED BY Admin Kabupaten]])</f>
        <v>182784</v>
      </c>
      <c r="N14">
        <f>progress_assignment_fd68e454_ba45_4b85_8205_f3bf777ded24_8juli[[#This Row],[REJECTED BY Admin Kabupaten]]+progress_assignment_fd68e454_ba45_4b85_8205_f3bf777ded24_8juli[[#This Row],[EDITED BY Pengawas]]+progress_assignment_fd68e454_ba45_4b85_8205_f3bf777ded24_8juli[[#This Row],[SUBMITTED RESPONDENT]]+progress_assignment_fd68e454_ba45_4b85_8205_f3bf777ded24_8juli[[#This Row],[REVOKED BY Pengawas]]+progress_assignment_fd68e454_ba45_4b85_8205_f3bf777ded24_8juli[[#This Row],[COMPLETED BY Admin Kabupaten]]+progress_assignment_fd68e454_ba45_4b85_8205_f3bf777ded24_8juli[[#This Row],[EDITED BY Admin Kabupaten]]+progress_assignment_fd68e454_ba45_4b85_8205_f3bf777ded24_8juli[[#This Row],[REJECTED BY Pengawas]]+progress_assignment_fd68e454_ba45_4b85_8205_f3bf777ded24_8juli[[#This Row],[SUBMITTED BY Pencacah]]+progress_assignment_fd68e454_ba45_4b85_8205_f3bf777ded24_8juli[[#This Row],[APPROVED BY Pengawas]]</f>
        <v>38559</v>
      </c>
      <c r="O14" s="2">
        <f>progress_assignment_fd68e454_ba45_4b85_8205_f3bf777ded24_8juli[[#This Row],[Not Draft + Open]]/progress_assignment_fd68e454_ba45_4b85_8205_f3bf777ded24_8juli[[#This Row],[Total]]*100</f>
        <v>21.095391281512605</v>
      </c>
      <c r="P14" s="2">
        <f>progress_assignment_fd68e454_ba45_4b85_8205_f3bf777ded24_8juli[[#This Row],[Persentase]]-progress_assignment_fd68e454_ba45_4b85_8205_f3bf777ded24__3[[#This Row],[Persentase]]</f>
        <v>1.6742874549946087</v>
      </c>
      <c r="Q14">
        <f>RANK(progress_assignment_fd68e454_ba45_4b85_8205_f3bf777ded24_8juli[[#This Row],[Persentase]],progress_assignment_fd68e454_ba45_4b85_8205_f3bf777ded24_8juli[Persentase],0)</f>
        <v>13</v>
      </c>
    </row>
    <row r="15" spans="1:17" x14ac:dyDescent="0.3">
      <c r="O15" s="2"/>
      <c r="P15" s="2"/>
    </row>
    <row r="16" spans="1:17" x14ac:dyDescent="0.3">
      <c r="A16">
        <v>7200</v>
      </c>
      <c r="B16">
        <f>SUM(progress_assignment_fd68e454_ba45_4b85_8205_f3bf777ded24_8juli[OPEN])</f>
        <v>815642</v>
      </c>
      <c r="C16">
        <f>SUM(progress_assignment_fd68e454_ba45_4b85_8205_f3bf777ded24_8juli[APPROVED BY Pengawas])</f>
        <v>187286</v>
      </c>
      <c r="D16">
        <f>SUM(progress_assignment_fd68e454_ba45_4b85_8205_f3bf777ded24_8juli[SUBMITTED BY Pencacah])</f>
        <v>196072</v>
      </c>
      <c r="E16">
        <f>SUM(progress_assignment_fd68e454_ba45_4b85_8205_f3bf777ded24_8juli[DRAFT])</f>
        <v>35896</v>
      </c>
      <c r="F16">
        <f>SUM(progress_assignment_fd68e454_ba45_4b85_8205_f3bf777ded24_8juli[REJECTED BY Pengawas])</f>
        <v>15371</v>
      </c>
      <c r="G16">
        <f>SUM(progress_assignment_fd68e454_ba45_4b85_8205_f3bf777ded24_8juli[EDITED BY Admin Kabupaten])</f>
        <v>1500</v>
      </c>
      <c r="H16">
        <f>SUM(progress_assignment_fd68e454_ba45_4b85_8205_f3bf777ded24_8juli[COMPLETED BY Admin Kabupaten])</f>
        <v>187</v>
      </c>
      <c r="I16">
        <f>SUM(progress_assignment_fd68e454_ba45_4b85_8205_f3bf777ded24_8juli[REVOKED BY Pengawas])</f>
        <v>716</v>
      </c>
      <c r="J16">
        <f>SUM(progress_assignment_fd68e454_ba45_4b85_8205_f3bf777ded24_8juli[SUBMITTED RESPONDENT])</f>
        <v>265</v>
      </c>
      <c r="K16">
        <f>SUM(progress_assignment_fd68e454_ba45_4b85_8205_f3bf777ded24_8juli[EDITED BY Pengawas])</f>
        <v>45</v>
      </c>
      <c r="L16">
        <f>SUM(progress_assignment_fd68e454_ba45_4b85_8205_f3bf777ded24_8juli[REJECTED BY Admin Kabupaten])</f>
        <v>98</v>
      </c>
      <c r="M16">
        <f>SUM(progress_assignment_fd68e454_ba45_4b85_8205_f3bf777ded24_8juli[Total])</f>
        <v>1253078</v>
      </c>
      <c r="N16">
        <f>SUM(progress_assignment_fd68e454_ba45_4b85_8205_f3bf777ded24_8juli[Not Draft + Open])</f>
        <v>401540</v>
      </c>
      <c r="O16" s="2">
        <f>N16/M16*100</f>
        <v>32.044294130133963</v>
      </c>
      <c r="P16" s="2">
        <f>O16-'7 Juli'!O17</f>
        <v>2.1030670440724251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25DC-87F6-4249-9BC2-16D184430F59}">
  <dimension ref="A1:Q16"/>
  <sheetViews>
    <sheetView workbookViewId="0">
      <selection activeCell="A2" sqref="A2:Q14"/>
    </sheetView>
  </sheetViews>
  <sheetFormatPr defaultRowHeight="14.4" x14ac:dyDescent="0.3"/>
  <cols>
    <col min="1" max="1" width="10" bestFit="1" customWidth="1"/>
    <col min="2" max="2" width="8" hidden="1" customWidth="1"/>
    <col min="3" max="3" width="24.6640625" hidden="1" customWidth="1"/>
    <col min="4" max="4" width="24.33203125" hidden="1" customWidth="1"/>
    <col min="5" max="5" width="8.6640625" hidden="1" customWidth="1"/>
    <col min="6" max="6" width="27.88671875" hidden="1" customWidth="1"/>
    <col min="7" max="7" width="23" hidden="1" customWidth="1"/>
    <col min="8" max="8" width="32.44140625" hidden="1" customWidth="1"/>
    <col min="9" max="9" width="22.88671875" hidden="1" customWidth="1"/>
    <col min="10" max="10" width="25.44140625" hidden="1" customWidth="1"/>
    <col min="11" max="11" width="20.88671875" hidden="1" customWidth="1"/>
    <col min="12" max="12" width="30" hidden="1" customWidth="1"/>
  </cols>
  <sheetData>
    <row r="1" spans="1:17" x14ac:dyDescent="0.3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6</v>
      </c>
      <c r="G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14</v>
      </c>
      <c r="P1" s="1" t="s">
        <v>16</v>
      </c>
      <c r="Q1" t="s">
        <v>17</v>
      </c>
    </row>
    <row r="2" spans="1:17" x14ac:dyDescent="0.3">
      <c r="A2">
        <v>7201</v>
      </c>
      <c r="B2">
        <v>28063</v>
      </c>
      <c r="C2">
        <v>8367</v>
      </c>
      <c r="D2">
        <v>9400</v>
      </c>
      <c r="E2">
        <v>1675</v>
      </c>
      <c r="F2">
        <v>95</v>
      </c>
      <c r="G2">
        <v>954</v>
      </c>
      <c r="I2">
        <v>37</v>
      </c>
      <c r="J2">
        <v>94</v>
      </c>
      <c r="K2">
        <v>1</v>
      </c>
      <c r="L2">
        <v>7</v>
      </c>
      <c r="M2">
        <f>SUM(progress_assignment_fd68e454_ba45_4b85_8205_f3bf777ded24_9_juli[[#This Row],[OPEN]:[REJECTED BY Admin Kabupaten]])</f>
        <v>48693</v>
      </c>
      <c r="N2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18955</v>
      </c>
      <c r="O2" s="2">
        <f>progress_assignment_fd68e454_ba45_4b85_8205_f3bf777ded24_9_juli[[#This Row],[Not Draft + Open]]/progress_assignment_fd68e454_ba45_4b85_8205_f3bf777ded24_9_juli[[#This Row],[Total]]*100</f>
        <v>38.927566590680385</v>
      </c>
      <c r="P2" s="4">
        <f>progress_assignment_fd68e454_ba45_4b85_8205_f3bf777ded24_9_juli[[#This Row],[Persentase]]-progress_assignment_fd68e454_ba45_4b85_8205_f3bf777ded24_8juli[[#This Row],[Persentase]]</f>
        <v>2.1600398287225886</v>
      </c>
      <c r="Q2">
        <f>RANK(progress_assignment_fd68e454_ba45_4b85_8205_f3bf777ded24_9_juli[[#This Row],[Persentase]],progress_assignment_fd68e454_ba45_4b85_8205_f3bf777ded24_9_juli[Persentase])</f>
        <v>2</v>
      </c>
    </row>
    <row r="3" spans="1:17" x14ac:dyDescent="0.3">
      <c r="A3">
        <v>7202</v>
      </c>
      <c r="B3">
        <v>93850</v>
      </c>
      <c r="C3">
        <v>39868</v>
      </c>
      <c r="D3">
        <v>13806</v>
      </c>
      <c r="E3">
        <v>4056</v>
      </c>
      <c r="F3">
        <v>17</v>
      </c>
      <c r="G3">
        <v>2359</v>
      </c>
      <c r="I3">
        <v>64</v>
      </c>
      <c r="J3">
        <v>4</v>
      </c>
      <c r="K3">
        <v>3</v>
      </c>
      <c r="L3">
        <v>1</v>
      </c>
      <c r="M3">
        <f>SUM(progress_assignment_fd68e454_ba45_4b85_8205_f3bf777ded24_9_juli[[#This Row],[OPEN]:[REJECTED BY Admin Kabupaten]])</f>
        <v>154028</v>
      </c>
      <c r="N3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56122</v>
      </c>
      <c r="O3" s="2">
        <f>progress_assignment_fd68e454_ba45_4b85_8205_f3bf777ded24_9_juli[[#This Row],[Not Draft + Open]]/progress_assignment_fd68e454_ba45_4b85_8205_f3bf777ded24_9_juli[[#This Row],[Total]]*100</f>
        <v>36.436232373334718</v>
      </c>
      <c r="P3" s="4">
        <f>progress_assignment_fd68e454_ba45_4b85_8205_f3bf777ded24_9_juli[[#This Row],[Persentase]]-progress_assignment_fd68e454_ba45_4b85_8205_f3bf777ded24_8juli[[#This Row],[Persentase]]</f>
        <v>1.9166942429935361</v>
      </c>
      <c r="Q3">
        <f>RANK(progress_assignment_fd68e454_ba45_4b85_8205_f3bf777ded24_9_juli[[#This Row],[Persentase]],progress_assignment_fd68e454_ba45_4b85_8205_f3bf777ded24_9_juli[Persentase])</f>
        <v>5</v>
      </c>
    </row>
    <row r="4" spans="1:17" x14ac:dyDescent="0.3">
      <c r="A4">
        <v>7203</v>
      </c>
      <c r="B4">
        <v>39069</v>
      </c>
      <c r="C4">
        <v>9316</v>
      </c>
      <c r="D4">
        <v>5372</v>
      </c>
      <c r="E4">
        <v>2350</v>
      </c>
      <c r="F4">
        <v>24</v>
      </c>
      <c r="G4">
        <v>209</v>
      </c>
      <c r="I4">
        <v>41</v>
      </c>
      <c r="K4">
        <v>1</v>
      </c>
      <c r="L4">
        <v>5</v>
      </c>
      <c r="M4">
        <f>SUM(progress_assignment_fd68e454_ba45_4b85_8205_f3bf777ded24_9_juli[[#This Row],[OPEN]:[REJECTED BY Admin Kabupaten]])</f>
        <v>56387</v>
      </c>
      <c r="N4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14968</v>
      </c>
      <c r="O4" s="2">
        <f>progress_assignment_fd68e454_ba45_4b85_8205_f3bf777ded24_9_juli[[#This Row],[Not Draft + Open]]/progress_assignment_fd68e454_ba45_4b85_8205_f3bf777ded24_9_juli[[#This Row],[Total]]*100</f>
        <v>26.545125649529144</v>
      </c>
      <c r="P4" s="4">
        <f>progress_assignment_fd68e454_ba45_4b85_8205_f3bf777ded24_9_juli[[#This Row],[Persentase]]-progress_assignment_fd68e454_ba45_4b85_8205_f3bf777ded24_8juli[[#This Row],[Persentase]]</f>
        <v>1.541103698614819</v>
      </c>
      <c r="Q4">
        <f>RANK(progress_assignment_fd68e454_ba45_4b85_8205_f3bf777ded24_9_juli[[#This Row],[Persentase]],progress_assignment_fd68e454_ba45_4b85_8205_f3bf777ded24_9_juli[Persentase])</f>
        <v>12</v>
      </c>
    </row>
    <row r="5" spans="1:17" x14ac:dyDescent="0.3">
      <c r="A5">
        <v>7204</v>
      </c>
      <c r="B5">
        <v>68606</v>
      </c>
      <c r="C5">
        <v>19834</v>
      </c>
      <c r="D5">
        <v>19041</v>
      </c>
      <c r="E5">
        <v>3366</v>
      </c>
      <c r="F5">
        <v>306</v>
      </c>
      <c r="G5">
        <v>1678</v>
      </c>
      <c r="H5">
        <v>22</v>
      </c>
      <c r="I5">
        <v>46</v>
      </c>
      <c r="J5">
        <v>47</v>
      </c>
      <c r="K5">
        <v>3</v>
      </c>
      <c r="M5">
        <f>SUM(progress_assignment_fd68e454_ba45_4b85_8205_f3bf777ded24_9_juli[[#This Row],[OPEN]:[REJECTED BY Admin Kabupaten]])</f>
        <v>112949</v>
      </c>
      <c r="N5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40977</v>
      </c>
      <c r="O5" s="2">
        <f>progress_assignment_fd68e454_ba45_4b85_8205_f3bf777ded24_9_juli[[#This Row],[Not Draft + Open]]/progress_assignment_fd68e454_ba45_4b85_8205_f3bf777ded24_9_juli[[#This Row],[Total]]*100</f>
        <v>36.279205659191319</v>
      </c>
      <c r="P5" s="4">
        <f>progress_assignment_fd68e454_ba45_4b85_8205_f3bf777ded24_9_juli[[#This Row],[Persentase]]-progress_assignment_fd68e454_ba45_4b85_8205_f3bf777ded24_8juli[[#This Row],[Persentase]]</f>
        <v>2.1191004390644181</v>
      </c>
      <c r="Q5">
        <f>RANK(progress_assignment_fd68e454_ba45_4b85_8205_f3bf777ded24_9_juli[[#This Row],[Persentase]],progress_assignment_fd68e454_ba45_4b85_8205_f3bf777ded24_9_juli[Persentase])</f>
        <v>7</v>
      </c>
    </row>
    <row r="6" spans="1:17" x14ac:dyDescent="0.3">
      <c r="A6">
        <v>7205</v>
      </c>
      <c r="B6">
        <v>72729</v>
      </c>
      <c r="C6">
        <v>8918</v>
      </c>
      <c r="D6">
        <v>31868</v>
      </c>
      <c r="E6">
        <v>2240</v>
      </c>
      <c r="F6">
        <v>245</v>
      </c>
      <c r="G6">
        <v>870</v>
      </c>
      <c r="I6">
        <v>84</v>
      </c>
      <c r="J6">
        <v>5</v>
      </c>
      <c r="K6">
        <v>1</v>
      </c>
      <c r="L6">
        <v>91</v>
      </c>
      <c r="M6">
        <f>SUM(progress_assignment_fd68e454_ba45_4b85_8205_f3bf777ded24_9_juli[[#This Row],[OPEN]:[REJECTED BY Admin Kabupaten]])</f>
        <v>117051</v>
      </c>
      <c r="N6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42082</v>
      </c>
      <c r="O6" s="2">
        <f>progress_assignment_fd68e454_ba45_4b85_8205_f3bf777ded24_9_juli[[#This Row],[Not Draft + Open]]/progress_assignment_fd68e454_ba45_4b85_8205_f3bf777ded24_9_juli[[#This Row],[Total]]*100</f>
        <v>35.951850048269556</v>
      </c>
      <c r="P6" s="4">
        <f>progress_assignment_fd68e454_ba45_4b85_8205_f3bf777ded24_9_juli[[#This Row],[Persentase]]-progress_assignment_fd68e454_ba45_4b85_8205_f3bf777ded24_8juli[[#This Row],[Persentase]]</f>
        <v>2.2200020617269303</v>
      </c>
      <c r="Q6">
        <f>RANK(progress_assignment_fd68e454_ba45_4b85_8205_f3bf777ded24_9_juli[[#This Row],[Persentase]],progress_assignment_fd68e454_ba45_4b85_8205_f3bf777ded24_9_juli[Persentase])</f>
        <v>8</v>
      </c>
    </row>
    <row r="7" spans="1:17" x14ac:dyDescent="0.3">
      <c r="A7">
        <v>7206</v>
      </c>
      <c r="B7">
        <v>52889</v>
      </c>
      <c r="C7">
        <v>11922</v>
      </c>
      <c r="D7">
        <v>17900</v>
      </c>
      <c r="E7">
        <v>2487</v>
      </c>
      <c r="F7">
        <v>220</v>
      </c>
      <c r="G7">
        <v>866</v>
      </c>
      <c r="I7">
        <v>69</v>
      </c>
      <c r="K7">
        <v>2</v>
      </c>
      <c r="M7">
        <f>SUM(progress_assignment_fd68e454_ba45_4b85_8205_f3bf777ded24_9_juli[[#This Row],[OPEN]:[REJECTED BY Admin Kabupaten]])</f>
        <v>86355</v>
      </c>
      <c r="N7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30979</v>
      </c>
      <c r="O7" s="2">
        <f>progress_assignment_fd68e454_ba45_4b85_8205_f3bf777ded24_9_juli[[#This Row],[Not Draft + Open]]/progress_assignment_fd68e454_ba45_4b85_8205_f3bf777ded24_9_juli[[#This Row],[Total]]*100</f>
        <v>35.874008453476925</v>
      </c>
      <c r="P7" s="4">
        <f>progress_assignment_fd68e454_ba45_4b85_8205_f3bf777ded24_9_juli[[#This Row],[Persentase]]-progress_assignment_fd68e454_ba45_4b85_8205_f3bf777ded24_8juli[[#This Row],[Persentase]]</f>
        <v>2.4205991108639324</v>
      </c>
      <c r="Q7">
        <f>RANK(progress_assignment_fd68e454_ba45_4b85_8205_f3bf777ded24_9_juli[[#This Row],[Persentase]],progress_assignment_fd68e454_ba45_4b85_8205_f3bf777ded24_9_juli[Persentase])</f>
        <v>9</v>
      </c>
    </row>
    <row r="8" spans="1:17" x14ac:dyDescent="0.3">
      <c r="A8">
        <v>7207</v>
      </c>
      <c r="B8">
        <v>38044</v>
      </c>
      <c r="C8">
        <v>12450</v>
      </c>
      <c r="D8">
        <v>7869</v>
      </c>
      <c r="E8">
        <v>2733</v>
      </c>
      <c r="F8">
        <v>39</v>
      </c>
      <c r="G8">
        <v>1424</v>
      </c>
      <c r="H8">
        <v>1</v>
      </c>
      <c r="I8">
        <v>36</v>
      </c>
      <c r="J8">
        <v>46</v>
      </c>
      <c r="L8">
        <v>3</v>
      </c>
      <c r="M8">
        <f>SUM(progress_assignment_fd68e454_ba45_4b85_8205_f3bf777ded24_9_juli[[#This Row],[OPEN]:[REJECTED BY Admin Kabupaten]])</f>
        <v>62645</v>
      </c>
      <c r="N8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21868</v>
      </c>
      <c r="O8" s="2">
        <f>progress_assignment_fd68e454_ba45_4b85_8205_f3bf777ded24_9_juli[[#This Row],[Not Draft + Open]]/progress_assignment_fd68e454_ba45_4b85_8205_f3bf777ded24_9_juli[[#This Row],[Total]]*100</f>
        <v>34.907813871817382</v>
      </c>
      <c r="P8" s="4">
        <f>progress_assignment_fd68e454_ba45_4b85_8205_f3bf777ded24_9_juli[[#This Row],[Persentase]]-progress_assignment_fd68e454_ba45_4b85_8205_f3bf777ded24_8juli[[#This Row],[Persentase]]</f>
        <v>2.0536044262321695</v>
      </c>
      <c r="Q8">
        <f>RANK(progress_assignment_fd68e454_ba45_4b85_8205_f3bf777ded24_9_juli[[#This Row],[Persentase]],progress_assignment_fd68e454_ba45_4b85_8205_f3bf777ded24_9_juli[Persentase])</f>
        <v>10</v>
      </c>
    </row>
    <row r="9" spans="1:17" x14ac:dyDescent="0.3">
      <c r="A9">
        <v>7208</v>
      </c>
      <c r="B9">
        <v>109958</v>
      </c>
      <c r="C9">
        <v>36893</v>
      </c>
      <c r="D9">
        <v>30258</v>
      </c>
      <c r="E9">
        <v>3114</v>
      </c>
      <c r="F9">
        <v>96</v>
      </c>
      <c r="G9">
        <v>2789</v>
      </c>
      <c r="H9">
        <v>15</v>
      </c>
      <c r="I9">
        <v>93</v>
      </c>
      <c r="J9">
        <v>5</v>
      </c>
      <c r="K9">
        <v>14</v>
      </c>
      <c r="M9">
        <f>SUM(progress_assignment_fd68e454_ba45_4b85_8205_f3bf777ded24_9_juli[[#This Row],[OPEN]:[REJECTED BY Admin Kabupaten]])</f>
        <v>183235</v>
      </c>
      <c r="N9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70163</v>
      </c>
      <c r="O9" s="2">
        <f>progress_assignment_fd68e454_ba45_4b85_8205_f3bf777ded24_9_juli[[#This Row],[Not Draft + Open]]/progress_assignment_fd68e454_ba45_4b85_8205_f3bf777ded24_9_juli[[#This Row],[Total]]*100</f>
        <v>38.291265315032611</v>
      </c>
      <c r="P9" s="4">
        <f>progress_assignment_fd68e454_ba45_4b85_8205_f3bf777ded24_9_juli[[#This Row],[Persentase]]-progress_assignment_fd68e454_ba45_4b85_8205_f3bf777ded24_8juli[[#This Row],[Persentase]]</f>
        <v>2.4727648495087635</v>
      </c>
      <c r="Q9">
        <f>RANK(progress_assignment_fd68e454_ba45_4b85_8205_f3bf777ded24_9_juli[[#This Row],[Persentase]],progress_assignment_fd68e454_ba45_4b85_8205_f3bf777ded24_9_juli[Persentase])</f>
        <v>3</v>
      </c>
    </row>
    <row r="10" spans="1:17" x14ac:dyDescent="0.3">
      <c r="A10">
        <v>7209</v>
      </c>
      <c r="B10">
        <v>38206</v>
      </c>
      <c r="C10">
        <v>9846</v>
      </c>
      <c r="D10">
        <v>12148</v>
      </c>
      <c r="E10">
        <v>1230</v>
      </c>
      <c r="G10">
        <v>2078</v>
      </c>
      <c r="I10">
        <v>107</v>
      </c>
      <c r="J10">
        <v>7</v>
      </c>
      <c r="K10">
        <v>4</v>
      </c>
      <c r="M10">
        <f>SUM(progress_assignment_fd68e454_ba45_4b85_8205_f3bf777ded24_9_juli[[#This Row],[OPEN]:[REJECTED BY Admin Kabupaten]])</f>
        <v>63626</v>
      </c>
      <c r="N10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24190</v>
      </c>
      <c r="O10" s="2">
        <f>progress_assignment_fd68e454_ba45_4b85_8205_f3bf777ded24_9_juli[[#This Row],[Not Draft + Open]]/progress_assignment_fd68e454_ba45_4b85_8205_f3bf777ded24_9_juli[[#This Row],[Total]]*100</f>
        <v>38.019048816521547</v>
      </c>
      <c r="P10" s="4">
        <f>progress_assignment_fd68e454_ba45_4b85_8205_f3bf777ded24_9_juli[[#This Row],[Persentase]]-progress_assignment_fd68e454_ba45_4b85_8205_f3bf777ded24_8juli[[#This Row],[Persentase]]</f>
        <v>2.19198529816952</v>
      </c>
      <c r="Q10">
        <f>RANK(progress_assignment_fd68e454_ba45_4b85_8205_f3bf777ded24_9_juli[[#This Row],[Persentase]],progress_assignment_fd68e454_ba45_4b85_8205_f3bf777ded24_9_juli[Persentase])</f>
        <v>4</v>
      </c>
    </row>
    <row r="11" spans="1:17" x14ac:dyDescent="0.3">
      <c r="A11">
        <v>7210</v>
      </c>
      <c r="B11">
        <v>70906</v>
      </c>
      <c r="C11">
        <v>18217</v>
      </c>
      <c r="D11">
        <v>21900</v>
      </c>
      <c r="E11">
        <v>1925</v>
      </c>
      <c r="F11">
        <v>25</v>
      </c>
      <c r="G11">
        <v>1445</v>
      </c>
      <c r="I11">
        <v>55</v>
      </c>
      <c r="J11">
        <v>8</v>
      </c>
      <c r="K11">
        <v>5</v>
      </c>
      <c r="L11">
        <v>4</v>
      </c>
      <c r="M11">
        <f>SUM(progress_assignment_fd68e454_ba45_4b85_8205_f3bf777ded24_9_juli[[#This Row],[OPEN]:[REJECTED BY Admin Kabupaten]])</f>
        <v>114490</v>
      </c>
      <c r="N11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41659</v>
      </c>
      <c r="O11" s="2">
        <f>progress_assignment_fd68e454_ba45_4b85_8205_f3bf777ded24_9_juli[[#This Row],[Not Draft + Open]]/progress_assignment_fd68e454_ba45_4b85_8205_f3bf777ded24_9_juli[[#This Row],[Total]]*100</f>
        <v>36.386583981133725</v>
      </c>
      <c r="P11" s="4">
        <f>progress_assignment_fd68e454_ba45_4b85_8205_f3bf777ded24_9_juli[[#This Row],[Persentase]]-progress_assignment_fd68e454_ba45_4b85_8205_f3bf777ded24_8juli[[#This Row],[Persentase]]</f>
        <v>2.0027831722269767</v>
      </c>
      <c r="Q11">
        <f>RANK(progress_assignment_fd68e454_ba45_4b85_8205_f3bf777ded24_9_juli[[#This Row],[Persentase]],progress_assignment_fd68e454_ba45_4b85_8205_f3bf777ded24_9_juli[Persentase])</f>
        <v>6</v>
      </c>
    </row>
    <row r="12" spans="1:17" x14ac:dyDescent="0.3">
      <c r="A12">
        <v>7211</v>
      </c>
      <c r="B12">
        <v>17383</v>
      </c>
      <c r="C12">
        <v>1136</v>
      </c>
      <c r="D12">
        <v>11193</v>
      </c>
      <c r="E12">
        <v>173</v>
      </c>
      <c r="F12">
        <v>1</v>
      </c>
      <c r="G12">
        <v>110</v>
      </c>
      <c r="I12">
        <v>20</v>
      </c>
      <c r="J12">
        <v>24</v>
      </c>
      <c r="K12">
        <v>1</v>
      </c>
      <c r="M12">
        <f>SUM(progress_assignment_fd68e454_ba45_4b85_8205_f3bf777ded24_9_juli[[#This Row],[OPEN]:[REJECTED BY Admin Kabupaten]])</f>
        <v>30041</v>
      </c>
      <c r="N12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12485</v>
      </c>
      <c r="O12" s="2">
        <f>progress_assignment_fd68e454_ba45_4b85_8205_f3bf777ded24_9_juli[[#This Row],[Not Draft + Open]]/progress_assignment_fd68e454_ba45_4b85_8205_f3bf777ded24_9_juli[[#This Row],[Total]]*100</f>
        <v>41.559868180153792</v>
      </c>
      <c r="P12" s="4">
        <f>progress_assignment_fd68e454_ba45_4b85_8205_f3bf777ded24_9_juli[[#This Row],[Persentase]]-progress_assignment_fd68e454_ba45_4b85_8205_f3bf777ded24_8juli[[#This Row],[Persentase]]</f>
        <v>2.2909963115294261</v>
      </c>
      <c r="Q12">
        <f>RANK(progress_assignment_fd68e454_ba45_4b85_8205_f3bf777ded24_9_juli[[#This Row],[Persentase]],progress_assignment_fd68e454_ba45_4b85_8205_f3bf777ded24_9_juli[Persentase])</f>
        <v>1</v>
      </c>
    </row>
    <row r="13" spans="1:17" x14ac:dyDescent="0.3">
      <c r="A13">
        <v>7212</v>
      </c>
      <c r="B13">
        <v>31817</v>
      </c>
      <c r="C13">
        <v>5576</v>
      </c>
      <c r="D13">
        <v>6852</v>
      </c>
      <c r="E13">
        <v>840</v>
      </c>
      <c r="F13">
        <v>18</v>
      </c>
      <c r="G13">
        <v>581</v>
      </c>
      <c r="I13">
        <v>48</v>
      </c>
      <c r="J13">
        <v>1</v>
      </c>
      <c r="M13">
        <f>SUM(progress_assignment_fd68e454_ba45_4b85_8205_f3bf777ded24_9_juli[[#This Row],[OPEN]:[REJECTED BY Admin Kabupaten]])</f>
        <v>45733</v>
      </c>
      <c r="N13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13076</v>
      </c>
      <c r="O13" s="2">
        <f>progress_assignment_fd68e454_ba45_4b85_8205_f3bf777ded24_9_juli[[#This Row],[Not Draft + Open]]/progress_assignment_fd68e454_ba45_4b85_8205_f3bf777ded24_9_juli[[#This Row],[Total]]*100</f>
        <v>28.59204513152428</v>
      </c>
      <c r="P13" s="4">
        <f>progress_assignment_fd68e454_ba45_4b85_8205_f3bf777ded24_9_juli[[#This Row],[Persentase]]-progress_assignment_fd68e454_ba45_4b85_8205_f3bf777ded24_8juli[[#This Row],[Persentase]]</f>
        <v>1.6184764627501309</v>
      </c>
      <c r="Q13">
        <f>RANK(progress_assignment_fd68e454_ba45_4b85_8205_f3bf777ded24_9_juli[[#This Row],[Persentase]],progress_assignment_fd68e454_ba45_4b85_8205_f3bf777ded24_9_juli[Persentase])</f>
        <v>11</v>
      </c>
    </row>
    <row r="14" spans="1:17" x14ac:dyDescent="0.3">
      <c r="A14">
        <v>7271</v>
      </c>
      <c r="B14">
        <v>132808</v>
      </c>
      <c r="C14">
        <v>20315</v>
      </c>
      <c r="D14">
        <v>19627</v>
      </c>
      <c r="E14">
        <v>8460</v>
      </c>
      <c r="F14">
        <v>1153</v>
      </c>
      <c r="G14">
        <v>1088</v>
      </c>
      <c r="H14">
        <v>182</v>
      </c>
      <c r="I14">
        <v>43</v>
      </c>
      <c r="J14">
        <v>26</v>
      </c>
      <c r="K14">
        <v>9</v>
      </c>
      <c r="M14">
        <f>SUM(progress_assignment_fd68e454_ba45_4b85_8205_f3bf777ded24_9_juli[[#This Row],[OPEN]:[REJECTED BY Admin Kabupaten]])</f>
        <v>183711</v>
      </c>
      <c r="N14">
        <f>progress_assignment_fd68e454_ba45_4b85_8205_f3bf777ded24_9_juli[[#This Row],[REJECTED BY Admin Kabupaten]]+progress_assignment_fd68e454_ba45_4b85_8205_f3bf777ded24_9_juli[[#This Row],[EDITED BY Pengawas]]+progress_assignment_fd68e454_ba45_4b85_8205_f3bf777ded24_9_juli[[#This Row],[SUBMITTED RESPONDENT]]+progress_assignment_fd68e454_ba45_4b85_8205_f3bf777ded24_9_juli[[#This Row],[REVOKED BY Pengawas]]+progress_assignment_fd68e454_ba45_4b85_8205_f3bf777ded24_9_juli[[#This Row],[COMPLETED BY Admin Kabupaten]]+progress_assignment_fd68e454_ba45_4b85_8205_f3bf777ded24_9_juli[[#This Row],[REJECTED BY Pengawas]]+progress_assignment_fd68e454_ba45_4b85_8205_f3bf777ded24_9_juli[[#This Row],[EDITED BY Admin Kabupaten]]+progress_assignment_fd68e454_ba45_4b85_8205_f3bf777ded24_9_juli[[#This Row],[APPROVED BY Pengawas]]+progress_assignment_fd68e454_ba45_4b85_8205_f3bf777ded24_9_juli[[#This Row],[SUBMITTED BY Pencacah]]</f>
        <v>42443</v>
      </c>
      <c r="O14" s="2">
        <f>progress_assignment_fd68e454_ba45_4b85_8205_f3bf777ded24_9_juli[[#This Row],[Not Draft + Open]]/progress_assignment_fd68e454_ba45_4b85_8205_f3bf777ded24_9_juli[[#This Row],[Total]]*100</f>
        <v>23.103134815008357</v>
      </c>
      <c r="P14" s="4">
        <f>progress_assignment_fd68e454_ba45_4b85_8205_f3bf777ded24_9_juli[[#This Row],[Persentase]]-progress_assignment_fd68e454_ba45_4b85_8205_f3bf777ded24_8juli[[#This Row],[Persentase]]</f>
        <v>2.0077435334957521</v>
      </c>
      <c r="Q14">
        <f>RANK(progress_assignment_fd68e454_ba45_4b85_8205_f3bf777ded24_9_juli[[#This Row],[Persentase]],progress_assignment_fd68e454_ba45_4b85_8205_f3bf777ded24_9_juli[Persentase])</f>
        <v>13</v>
      </c>
    </row>
    <row r="16" spans="1:17" x14ac:dyDescent="0.3">
      <c r="A16">
        <v>7200</v>
      </c>
      <c r="B16">
        <f>SUM(progress_assignment_fd68e454_ba45_4b85_8205_f3bf777ded24_9_juli[OPEN])</f>
        <v>794328</v>
      </c>
      <c r="C16">
        <f>SUM(progress_assignment_fd68e454_ba45_4b85_8205_f3bf777ded24_9_juli[SUBMITTED BY Pencacah])</f>
        <v>202658</v>
      </c>
      <c r="D16">
        <f>SUM(progress_assignment_fd68e454_ba45_4b85_8205_f3bf777ded24_9_juli[APPROVED BY Pengawas])</f>
        <v>207234</v>
      </c>
      <c r="E16">
        <f>SUM(progress_assignment_fd68e454_ba45_4b85_8205_f3bf777ded24_9_juli[DRAFT])</f>
        <v>34649</v>
      </c>
      <c r="F16">
        <f>SUM(progress_assignment_fd68e454_ba45_4b85_8205_f3bf777ded24_9_juli[EDITED BY Admin Kabupaten])</f>
        <v>2239</v>
      </c>
      <c r="G16">
        <f>SUM(progress_assignment_fd68e454_ba45_4b85_8205_f3bf777ded24_9_juli[REJECTED BY Pengawas])</f>
        <v>16451</v>
      </c>
      <c r="H16">
        <f>SUM(progress_assignment_fd68e454_ba45_4b85_8205_f3bf777ded24_9_juli[COMPLETED BY Admin Kabupaten])</f>
        <v>220</v>
      </c>
      <c r="I16">
        <f>SUM(progress_assignment_fd68e454_ba45_4b85_8205_f3bf777ded24_9_juli[REVOKED BY Pengawas])</f>
        <v>743</v>
      </c>
      <c r="J16">
        <f>SUM(progress_assignment_fd68e454_ba45_4b85_8205_f3bf777ded24_9_juli[SUBMITTED RESPONDENT])</f>
        <v>267</v>
      </c>
      <c r="K16">
        <f>SUM(progress_assignment_fd68e454_ba45_4b85_8205_f3bf777ded24_9_juli[EDITED BY Pengawas])</f>
        <v>44</v>
      </c>
      <c r="L16">
        <f>SUM(progress_assignment_fd68e454_ba45_4b85_8205_f3bf777ded24_9_juli[REJECTED BY Admin Kabupaten])</f>
        <v>111</v>
      </c>
      <c r="M16">
        <f>SUM(progress_assignment_fd68e454_ba45_4b85_8205_f3bf777ded24_9_juli[Total])</f>
        <v>1258944</v>
      </c>
      <c r="N16">
        <f>SUM(progress_assignment_fd68e454_ba45_4b85_8205_f3bf777ded24_9_juli[Not Draft + Open])</f>
        <v>429967</v>
      </c>
      <c r="O16" s="2">
        <f>N16/M16*100</f>
        <v>34.152988536424175</v>
      </c>
      <c r="P16" s="4">
        <f>O16-'8 Juli'!O16</f>
        <v>2.108694406290212</v>
      </c>
    </row>
  </sheetData>
  <conditionalFormatting sqref="P2:P14">
    <cfRule type="cellIs" dxfId="8" priority="1" operator="greaterThanOrEqual">
      <formula>2.11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B522A-5DE5-41EA-BF14-F85DD6BB0C81}">
  <dimension ref="A1:Q16"/>
  <sheetViews>
    <sheetView workbookViewId="0">
      <selection activeCell="M1" sqref="M1:Q1"/>
    </sheetView>
  </sheetViews>
  <sheetFormatPr defaultRowHeight="14.4" x14ac:dyDescent="0.3"/>
  <cols>
    <col min="1" max="1" width="10" bestFit="1" customWidth="1"/>
    <col min="2" max="2" width="8" hidden="1" customWidth="1"/>
    <col min="3" max="3" width="24.6640625" hidden="1" customWidth="1"/>
    <col min="4" max="4" width="24.33203125" hidden="1" customWidth="1"/>
    <col min="5" max="5" width="8.6640625" hidden="1" customWidth="1"/>
    <col min="6" max="6" width="27.88671875" hidden="1" customWidth="1"/>
    <col min="7" max="7" width="23" hidden="1" customWidth="1"/>
    <col min="8" max="8" width="32.44140625" hidden="1" customWidth="1"/>
    <col min="9" max="9" width="22.88671875" hidden="1" customWidth="1"/>
    <col min="10" max="10" width="25.44140625" hidden="1" customWidth="1"/>
    <col min="11" max="11" width="20.88671875" hidden="1" customWidth="1"/>
    <col min="12" max="12" width="30" hidden="1" customWidth="1"/>
  </cols>
  <sheetData>
    <row r="1" spans="1:17" x14ac:dyDescent="0.3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6</v>
      </c>
      <c r="G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14</v>
      </c>
      <c r="P1" s="1" t="s">
        <v>16</v>
      </c>
      <c r="Q1" t="s">
        <v>17</v>
      </c>
    </row>
    <row r="2" spans="1:17" x14ac:dyDescent="0.3">
      <c r="A2">
        <v>7201</v>
      </c>
      <c r="B2">
        <v>26774</v>
      </c>
      <c r="C2">
        <v>8926</v>
      </c>
      <c r="D2">
        <v>10428</v>
      </c>
      <c r="E2">
        <v>1577</v>
      </c>
      <c r="F2">
        <v>138</v>
      </c>
      <c r="G2">
        <v>886</v>
      </c>
      <c r="H2">
        <v>4</v>
      </c>
      <c r="I2">
        <v>41</v>
      </c>
      <c r="J2">
        <v>94</v>
      </c>
      <c r="K2">
        <v>1</v>
      </c>
      <c r="M2">
        <f>SUM(progress_assignment_fd68e454_ba45_4b85_8205_f3bf777ded24_10_Juli[[#This Row],[OPEN]:[REJECTED BY Admin Kabupaten]])</f>
        <v>48869</v>
      </c>
      <c r="N2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20518</v>
      </c>
      <c r="O2" s="2">
        <f>progress_assignment_fd68e454_ba45_4b85_8205_f3bf777ded24_10_Juli[[#This Row],[Not Draft + Open]]/progress_assignment_fd68e454_ba45_4b85_8205_f3bf777ded24_10_Juli[[#This Row],[Total]]*100</f>
        <v>41.985716916654731</v>
      </c>
      <c r="P2" s="4">
        <f>progress_assignment_fd68e454_ba45_4b85_8205_f3bf777ded24_10_Juli[[#This Row],[Persentase]]-progress_assignment_fd68e454_ba45_4b85_8205_f3bf777ded24_9_juli[[#This Row],[Persentase]]</f>
        <v>3.0581503259743457</v>
      </c>
      <c r="Q2">
        <f>RANK(progress_assignment_fd68e454_ba45_4b85_8205_f3bf777ded24_10_Juli[[#This Row],[Persentase]],progress_assignment_fd68e454_ba45_4b85_8205_f3bf777ded24_10_Juli[Persentase])</f>
        <v>2</v>
      </c>
    </row>
    <row r="3" spans="1:17" x14ac:dyDescent="0.3">
      <c r="A3">
        <v>7202</v>
      </c>
      <c r="B3">
        <v>91368</v>
      </c>
      <c r="C3">
        <v>41618</v>
      </c>
      <c r="D3">
        <v>15128</v>
      </c>
      <c r="E3">
        <v>4150</v>
      </c>
      <c r="F3">
        <v>37</v>
      </c>
      <c r="G3">
        <v>2366</v>
      </c>
      <c r="H3">
        <v>14</v>
      </c>
      <c r="I3">
        <v>76</v>
      </c>
      <c r="J3">
        <v>4</v>
      </c>
      <c r="K3">
        <v>1</v>
      </c>
      <c r="M3">
        <f>SUM(progress_assignment_fd68e454_ba45_4b85_8205_f3bf777ded24_10_Juli[[#This Row],[OPEN]:[REJECTED BY Admin Kabupaten]])</f>
        <v>154762</v>
      </c>
      <c r="N3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59244</v>
      </c>
      <c r="O3" s="2">
        <f>progress_assignment_fd68e454_ba45_4b85_8205_f3bf777ded24_10_Juli[[#This Row],[Not Draft + Open]]/progress_assignment_fd68e454_ba45_4b85_8205_f3bf777ded24_10_Juli[[#This Row],[Total]]*100</f>
        <v>38.280714904175447</v>
      </c>
      <c r="P3" s="4">
        <f>progress_assignment_fd68e454_ba45_4b85_8205_f3bf777ded24_10_Juli[[#This Row],[Persentase]]-progress_assignment_fd68e454_ba45_4b85_8205_f3bf777ded24_9_juli[[#This Row],[Persentase]]</f>
        <v>1.8444825308407289</v>
      </c>
      <c r="Q3">
        <f>RANK(progress_assignment_fd68e454_ba45_4b85_8205_f3bf777ded24_10_Juli[[#This Row],[Persentase]],progress_assignment_fd68e454_ba45_4b85_8205_f3bf777ded24_10_Juli[Persentase])</f>
        <v>8</v>
      </c>
    </row>
    <row r="4" spans="1:17" x14ac:dyDescent="0.3">
      <c r="A4">
        <v>7203</v>
      </c>
      <c r="B4">
        <v>38723</v>
      </c>
      <c r="C4">
        <v>9889</v>
      </c>
      <c r="D4">
        <v>5636</v>
      </c>
      <c r="E4">
        <v>2394</v>
      </c>
      <c r="F4">
        <v>31</v>
      </c>
      <c r="G4">
        <v>199</v>
      </c>
      <c r="H4">
        <v>62</v>
      </c>
      <c r="I4">
        <v>35</v>
      </c>
      <c r="K4">
        <v>1</v>
      </c>
      <c r="L4">
        <v>5</v>
      </c>
      <c r="M4">
        <f>SUM(progress_assignment_fd68e454_ba45_4b85_8205_f3bf777ded24_10_Juli[[#This Row],[OPEN]:[REJECTED BY Admin Kabupaten]])</f>
        <v>56975</v>
      </c>
      <c r="N4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15858</v>
      </c>
      <c r="O4" s="2">
        <f>progress_assignment_fd68e454_ba45_4b85_8205_f3bf777ded24_10_Juli[[#This Row],[Not Draft + Open]]/progress_assignment_fd68e454_ba45_4b85_8205_f3bf777ded24_10_Juli[[#This Row],[Total]]*100</f>
        <v>27.833260201842911</v>
      </c>
      <c r="P4" s="4">
        <f>progress_assignment_fd68e454_ba45_4b85_8205_f3bf777ded24_10_Juli[[#This Row],[Persentase]]-progress_assignment_fd68e454_ba45_4b85_8205_f3bf777ded24_9_juli[[#This Row],[Persentase]]</f>
        <v>1.2881345523137675</v>
      </c>
      <c r="Q4">
        <f>RANK(progress_assignment_fd68e454_ba45_4b85_8205_f3bf777ded24_10_Juli[[#This Row],[Persentase]],progress_assignment_fd68e454_ba45_4b85_8205_f3bf777ded24_10_Juli[Persentase])</f>
        <v>12</v>
      </c>
    </row>
    <row r="5" spans="1:17" x14ac:dyDescent="0.3">
      <c r="A5">
        <v>7204</v>
      </c>
      <c r="B5">
        <v>66588</v>
      </c>
      <c r="C5">
        <v>19759</v>
      </c>
      <c r="D5">
        <v>21321</v>
      </c>
      <c r="E5">
        <v>3502</v>
      </c>
      <c r="F5">
        <v>334</v>
      </c>
      <c r="G5">
        <v>1826</v>
      </c>
      <c r="H5">
        <v>22</v>
      </c>
      <c r="I5">
        <v>85</v>
      </c>
      <c r="J5">
        <v>47</v>
      </c>
      <c r="L5">
        <v>3</v>
      </c>
      <c r="M5">
        <f>SUM(progress_assignment_fd68e454_ba45_4b85_8205_f3bf777ded24_10_Juli[[#This Row],[OPEN]:[REJECTED BY Admin Kabupaten]])</f>
        <v>113487</v>
      </c>
      <c r="N5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43397</v>
      </c>
      <c r="O5" s="2">
        <f>progress_assignment_fd68e454_ba45_4b85_8205_f3bf777ded24_10_Juli[[#This Row],[Not Draft + Open]]/progress_assignment_fd68e454_ba45_4b85_8205_f3bf777ded24_10_Juli[[#This Row],[Total]]*100</f>
        <v>38.23962215936627</v>
      </c>
      <c r="P5" s="4">
        <f>progress_assignment_fd68e454_ba45_4b85_8205_f3bf777ded24_10_Juli[[#This Row],[Persentase]]-progress_assignment_fd68e454_ba45_4b85_8205_f3bf777ded24_9_juli[[#This Row],[Persentase]]</f>
        <v>1.9604165001749507</v>
      </c>
      <c r="Q5">
        <f>RANK(progress_assignment_fd68e454_ba45_4b85_8205_f3bf777ded24_10_Juli[[#This Row],[Persentase]],progress_assignment_fd68e454_ba45_4b85_8205_f3bf777ded24_10_Juli[Persentase])</f>
        <v>9</v>
      </c>
    </row>
    <row r="6" spans="1:17" x14ac:dyDescent="0.3">
      <c r="A6">
        <v>7205</v>
      </c>
      <c r="B6">
        <v>70340</v>
      </c>
      <c r="C6">
        <v>9506</v>
      </c>
      <c r="D6">
        <v>33974</v>
      </c>
      <c r="E6">
        <v>2214</v>
      </c>
      <c r="F6">
        <v>469</v>
      </c>
      <c r="G6">
        <v>849</v>
      </c>
      <c r="H6">
        <v>58</v>
      </c>
      <c r="I6">
        <v>64</v>
      </c>
      <c r="J6">
        <v>5</v>
      </c>
      <c r="L6">
        <v>176</v>
      </c>
      <c r="M6">
        <f>SUM(progress_assignment_fd68e454_ba45_4b85_8205_f3bf777ded24_10_Juli[[#This Row],[OPEN]:[REJECTED BY Admin Kabupaten]])</f>
        <v>117655</v>
      </c>
      <c r="N6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45101</v>
      </c>
      <c r="O6" s="2">
        <f>progress_assignment_fd68e454_ba45_4b85_8205_f3bf777ded24_10_Juli[[#This Row],[Not Draft + Open]]/progress_assignment_fd68e454_ba45_4b85_8205_f3bf777ded24_10_Juli[[#This Row],[Total]]*100</f>
        <v>38.333262504780933</v>
      </c>
      <c r="P6" s="4">
        <f>progress_assignment_fd68e454_ba45_4b85_8205_f3bf777ded24_10_Juli[[#This Row],[Persentase]]-progress_assignment_fd68e454_ba45_4b85_8205_f3bf777ded24_9_juli[[#This Row],[Persentase]]</f>
        <v>2.3814124565113772</v>
      </c>
      <c r="Q6">
        <f>RANK(progress_assignment_fd68e454_ba45_4b85_8205_f3bf777ded24_10_Juli[[#This Row],[Persentase]],progress_assignment_fd68e454_ba45_4b85_8205_f3bf777ded24_10_Juli[Persentase])</f>
        <v>7</v>
      </c>
    </row>
    <row r="7" spans="1:17" x14ac:dyDescent="0.3">
      <c r="A7">
        <v>7206</v>
      </c>
      <c r="B7">
        <v>51105</v>
      </c>
      <c r="C7">
        <v>12882</v>
      </c>
      <c r="D7">
        <v>19271</v>
      </c>
      <c r="E7">
        <v>2447</v>
      </c>
      <c r="F7">
        <v>338</v>
      </c>
      <c r="G7">
        <v>772</v>
      </c>
      <c r="I7">
        <v>72</v>
      </c>
      <c r="K7">
        <v>2</v>
      </c>
      <c r="M7">
        <f>SUM(progress_assignment_fd68e454_ba45_4b85_8205_f3bf777ded24_10_Juli[[#This Row],[OPEN]:[REJECTED BY Admin Kabupaten]])</f>
        <v>86889</v>
      </c>
      <c r="N7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33337</v>
      </c>
      <c r="O7" s="2">
        <f>progress_assignment_fd68e454_ba45_4b85_8205_f3bf777ded24_10_Juli[[#This Row],[Not Draft + Open]]/progress_assignment_fd68e454_ba45_4b85_8205_f3bf777ded24_10_Juli[[#This Row],[Total]]*100</f>
        <v>38.367342241250327</v>
      </c>
      <c r="P7" s="4">
        <f>progress_assignment_fd68e454_ba45_4b85_8205_f3bf777ded24_10_Juli[[#This Row],[Persentase]]-progress_assignment_fd68e454_ba45_4b85_8205_f3bf777ded24_9_juli[[#This Row],[Persentase]]</f>
        <v>2.4933337877734019</v>
      </c>
      <c r="Q7">
        <f>RANK(progress_assignment_fd68e454_ba45_4b85_8205_f3bf777ded24_10_Juli[[#This Row],[Persentase]],progress_assignment_fd68e454_ba45_4b85_8205_f3bf777ded24_10_Juli[Persentase])</f>
        <v>5</v>
      </c>
    </row>
    <row r="8" spans="1:17" x14ac:dyDescent="0.3">
      <c r="A8">
        <v>7207</v>
      </c>
      <c r="B8">
        <v>36948</v>
      </c>
      <c r="C8">
        <v>13038</v>
      </c>
      <c r="D8">
        <v>8486</v>
      </c>
      <c r="E8">
        <v>2857</v>
      </c>
      <c r="F8">
        <v>90</v>
      </c>
      <c r="G8">
        <v>1435</v>
      </c>
      <c r="H8">
        <v>1</v>
      </c>
      <c r="I8">
        <v>36</v>
      </c>
      <c r="J8">
        <v>46</v>
      </c>
      <c r="L8">
        <v>3</v>
      </c>
      <c r="M8">
        <f>SUM(progress_assignment_fd68e454_ba45_4b85_8205_f3bf777ded24_10_Juli[[#This Row],[OPEN]:[REJECTED BY Admin Kabupaten]])</f>
        <v>62940</v>
      </c>
      <c r="N8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23135</v>
      </c>
      <c r="O8" s="2">
        <f>progress_assignment_fd68e454_ba45_4b85_8205_f3bf777ded24_10_Juli[[#This Row],[Not Draft + Open]]/progress_assignment_fd68e454_ba45_4b85_8205_f3bf777ded24_10_Juli[[#This Row],[Total]]*100</f>
        <v>36.757229107086111</v>
      </c>
      <c r="P8" s="4">
        <f>progress_assignment_fd68e454_ba45_4b85_8205_f3bf777ded24_10_Juli[[#This Row],[Persentase]]-progress_assignment_fd68e454_ba45_4b85_8205_f3bf777ded24_9_juli[[#This Row],[Persentase]]</f>
        <v>1.8494152352687294</v>
      </c>
      <c r="Q8">
        <f>RANK(progress_assignment_fd68e454_ba45_4b85_8205_f3bf777ded24_10_Juli[[#This Row],[Persentase]],progress_assignment_fd68e454_ba45_4b85_8205_f3bf777ded24_10_Juli[Persentase])</f>
        <v>10</v>
      </c>
    </row>
    <row r="9" spans="1:17" x14ac:dyDescent="0.3">
      <c r="A9">
        <v>7208</v>
      </c>
      <c r="B9">
        <v>106111</v>
      </c>
      <c r="C9">
        <v>37654</v>
      </c>
      <c r="D9">
        <v>33350</v>
      </c>
      <c r="E9">
        <v>3247</v>
      </c>
      <c r="F9">
        <v>3</v>
      </c>
      <c r="G9">
        <v>3199</v>
      </c>
      <c r="H9">
        <v>186</v>
      </c>
      <c r="I9">
        <v>94</v>
      </c>
      <c r="J9">
        <v>5</v>
      </c>
      <c r="K9">
        <v>14</v>
      </c>
      <c r="M9">
        <f>SUM(progress_assignment_fd68e454_ba45_4b85_8205_f3bf777ded24_10_Juli[[#This Row],[OPEN]:[REJECTED BY Admin Kabupaten]])</f>
        <v>183863</v>
      </c>
      <c r="N9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74505</v>
      </c>
      <c r="O9" s="2">
        <f>progress_assignment_fd68e454_ba45_4b85_8205_f3bf777ded24_10_Juli[[#This Row],[Not Draft + Open]]/progress_assignment_fd68e454_ba45_4b85_8205_f3bf777ded24_10_Juli[[#This Row],[Total]]*100</f>
        <v>40.522019112056256</v>
      </c>
      <c r="P9" s="4">
        <f>progress_assignment_fd68e454_ba45_4b85_8205_f3bf777ded24_10_Juli[[#This Row],[Persentase]]-progress_assignment_fd68e454_ba45_4b85_8205_f3bf777ded24_9_juli[[#This Row],[Persentase]]</f>
        <v>2.2307537970236453</v>
      </c>
      <c r="Q9">
        <f>RANK(progress_assignment_fd68e454_ba45_4b85_8205_f3bf777ded24_10_Juli[[#This Row],[Persentase]],progress_assignment_fd68e454_ba45_4b85_8205_f3bf777ded24_10_Juli[Persentase])</f>
        <v>3</v>
      </c>
    </row>
    <row r="10" spans="1:17" x14ac:dyDescent="0.3">
      <c r="A10">
        <v>7209</v>
      </c>
      <c r="B10">
        <v>37188</v>
      </c>
      <c r="C10">
        <v>10536</v>
      </c>
      <c r="D10">
        <v>12433</v>
      </c>
      <c r="E10">
        <v>1280</v>
      </c>
      <c r="G10">
        <v>2298</v>
      </c>
      <c r="I10">
        <v>129</v>
      </c>
      <c r="J10">
        <v>7</v>
      </c>
      <c r="K10">
        <v>4</v>
      </c>
      <c r="M10">
        <f>SUM(progress_assignment_fd68e454_ba45_4b85_8205_f3bf777ded24_10_Juli[[#This Row],[OPEN]:[REJECTED BY Admin Kabupaten]])</f>
        <v>63875</v>
      </c>
      <c r="N10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25407</v>
      </c>
      <c r="O10" s="2">
        <f>progress_assignment_fd68e454_ba45_4b85_8205_f3bf777ded24_10_Juli[[#This Row],[Not Draft + Open]]/progress_assignment_fd68e454_ba45_4b85_8205_f3bf777ded24_10_Juli[[#This Row],[Total]]*100</f>
        <v>39.776125244618392</v>
      </c>
      <c r="P10" s="4">
        <f>progress_assignment_fd68e454_ba45_4b85_8205_f3bf777ded24_10_Juli[[#This Row],[Persentase]]-progress_assignment_fd68e454_ba45_4b85_8205_f3bf777ded24_9_juli[[#This Row],[Persentase]]</f>
        <v>1.7570764280968447</v>
      </c>
      <c r="Q10">
        <f>RANK(progress_assignment_fd68e454_ba45_4b85_8205_f3bf777ded24_10_Juli[[#This Row],[Persentase]],progress_assignment_fd68e454_ba45_4b85_8205_f3bf777ded24_10_Juli[Persentase])</f>
        <v>4</v>
      </c>
    </row>
    <row r="11" spans="1:17" x14ac:dyDescent="0.3">
      <c r="A11">
        <v>7210</v>
      </c>
      <c r="B11">
        <v>68911</v>
      </c>
      <c r="C11">
        <v>17605</v>
      </c>
      <c r="D11">
        <v>24593</v>
      </c>
      <c r="E11">
        <v>1915</v>
      </c>
      <c r="F11">
        <v>30</v>
      </c>
      <c r="G11">
        <v>1686</v>
      </c>
      <c r="H11">
        <v>105</v>
      </c>
      <c r="I11">
        <v>54</v>
      </c>
      <c r="J11">
        <v>8</v>
      </c>
      <c r="L11">
        <v>4</v>
      </c>
      <c r="M11">
        <f>SUM(progress_assignment_fd68e454_ba45_4b85_8205_f3bf777ded24_10_Juli[[#This Row],[OPEN]:[REJECTED BY Admin Kabupaten]])</f>
        <v>114911</v>
      </c>
      <c r="N11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44085</v>
      </c>
      <c r="O11" s="2">
        <f>progress_assignment_fd68e454_ba45_4b85_8205_f3bf777ded24_10_Juli[[#This Row],[Not Draft + Open]]/progress_assignment_fd68e454_ba45_4b85_8205_f3bf777ded24_10_Juli[[#This Row],[Total]]*100</f>
        <v>38.364473375046778</v>
      </c>
      <c r="P11" s="4">
        <f>progress_assignment_fd68e454_ba45_4b85_8205_f3bf777ded24_10_Juli[[#This Row],[Persentase]]-progress_assignment_fd68e454_ba45_4b85_8205_f3bf777ded24_9_juli[[#This Row],[Persentase]]</f>
        <v>1.9778893939130526</v>
      </c>
      <c r="Q11">
        <f>RANK(progress_assignment_fd68e454_ba45_4b85_8205_f3bf777ded24_10_Juli[[#This Row],[Persentase]],progress_assignment_fd68e454_ba45_4b85_8205_f3bf777ded24_10_Juli[Persentase])</f>
        <v>6</v>
      </c>
    </row>
    <row r="12" spans="1:17" x14ac:dyDescent="0.3">
      <c r="A12">
        <v>7211</v>
      </c>
      <c r="B12">
        <v>16932</v>
      </c>
      <c r="C12">
        <v>1056</v>
      </c>
      <c r="D12">
        <v>11831</v>
      </c>
      <c r="E12">
        <v>176</v>
      </c>
      <c r="F12">
        <v>6</v>
      </c>
      <c r="G12">
        <v>100</v>
      </c>
      <c r="I12">
        <v>14</v>
      </c>
      <c r="J12">
        <v>24</v>
      </c>
      <c r="K12">
        <v>1</v>
      </c>
      <c r="M12">
        <f>SUM(progress_assignment_fd68e454_ba45_4b85_8205_f3bf777ded24_10_Juli[[#This Row],[OPEN]:[REJECTED BY Admin Kabupaten]])</f>
        <v>30140</v>
      </c>
      <c r="N12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13032</v>
      </c>
      <c r="O12" s="2">
        <f>progress_assignment_fd68e454_ba45_4b85_8205_f3bf777ded24_10_Juli[[#This Row],[Not Draft + Open]]/progress_assignment_fd68e454_ba45_4b85_8205_f3bf777ded24_10_Juli[[#This Row],[Total]]*100</f>
        <v>43.238221632382221</v>
      </c>
      <c r="P12" s="4">
        <f>progress_assignment_fd68e454_ba45_4b85_8205_f3bf777ded24_10_Juli[[#This Row],[Persentase]]-progress_assignment_fd68e454_ba45_4b85_8205_f3bf777ded24_9_juli[[#This Row],[Persentase]]</f>
        <v>1.6783534522284285</v>
      </c>
      <c r="Q12">
        <f>RANK(progress_assignment_fd68e454_ba45_4b85_8205_f3bf777ded24_10_Juli[[#This Row],[Persentase]],progress_assignment_fd68e454_ba45_4b85_8205_f3bf777ded24_10_Juli[Persentase])</f>
        <v>1</v>
      </c>
    </row>
    <row r="13" spans="1:17" x14ac:dyDescent="0.3">
      <c r="A13">
        <v>7212</v>
      </c>
      <c r="B13">
        <v>31163</v>
      </c>
      <c r="C13">
        <v>5802</v>
      </c>
      <c r="D13">
        <v>7323</v>
      </c>
      <c r="E13">
        <v>823</v>
      </c>
      <c r="F13">
        <v>18</v>
      </c>
      <c r="G13">
        <v>671</v>
      </c>
      <c r="H13">
        <v>35</v>
      </c>
      <c r="I13">
        <v>50</v>
      </c>
      <c r="J13">
        <v>1</v>
      </c>
      <c r="M13">
        <f>SUM(progress_assignment_fd68e454_ba45_4b85_8205_f3bf777ded24_10_Juli[[#This Row],[OPEN]:[REJECTED BY Admin Kabupaten]])</f>
        <v>45886</v>
      </c>
      <c r="N13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13900</v>
      </c>
      <c r="O13" s="2">
        <f>progress_assignment_fd68e454_ba45_4b85_8205_f3bf777ded24_10_Juli[[#This Row],[Not Draft + Open]]/progress_assignment_fd68e454_ba45_4b85_8205_f3bf777ded24_10_Juli[[#This Row],[Total]]*100</f>
        <v>30.292463932354096</v>
      </c>
      <c r="P13" s="4">
        <f>progress_assignment_fd68e454_ba45_4b85_8205_f3bf777ded24_10_Juli[[#This Row],[Persentase]]-progress_assignment_fd68e454_ba45_4b85_8205_f3bf777ded24_9_juli[[#This Row],[Persentase]]</f>
        <v>1.7004188008298158</v>
      </c>
      <c r="Q13">
        <f>RANK(progress_assignment_fd68e454_ba45_4b85_8205_f3bf777ded24_10_Juli[[#This Row],[Persentase]],progress_assignment_fd68e454_ba45_4b85_8205_f3bf777ded24_10_Juli[Persentase])</f>
        <v>11</v>
      </c>
    </row>
    <row r="14" spans="1:17" x14ac:dyDescent="0.3">
      <c r="A14">
        <v>7271</v>
      </c>
      <c r="B14">
        <v>130404</v>
      </c>
      <c r="C14">
        <v>22354</v>
      </c>
      <c r="D14">
        <v>20841</v>
      </c>
      <c r="E14">
        <v>8474</v>
      </c>
      <c r="F14">
        <v>1265</v>
      </c>
      <c r="G14">
        <v>992</v>
      </c>
      <c r="H14">
        <v>358</v>
      </c>
      <c r="I14">
        <v>77</v>
      </c>
      <c r="J14">
        <v>32</v>
      </c>
      <c r="K14">
        <v>9</v>
      </c>
      <c r="M14">
        <f>SUM(progress_assignment_fd68e454_ba45_4b85_8205_f3bf777ded24_10_Juli[[#This Row],[OPEN]:[REJECTED BY Admin Kabupaten]])</f>
        <v>184806</v>
      </c>
      <c r="N14">
        <f>progress_assignment_fd68e454_ba45_4b85_8205_f3bf777ded24_10_Juli[[#This Row],[REJECTED BY Admin Kabupaten]]+progress_assignment_fd68e454_ba45_4b85_8205_f3bf777ded24_10_Juli[[#This Row],[EDITED BY Pengawas]]+progress_assignment_fd68e454_ba45_4b85_8205_f3bf777ded24_10_Juli[[#This Row],[SUBMITTED RESPONDENT]]+progress_assignment_fd68e454_ba45_4b85_8205_f3bf777ded24_10_Juli[[#This Row],[REVOKED BY Pengawas]]+progress_assignment_fd68e454_ba45_4b85_8205_f3bf777ded24_10_Juli[[#This Row],[COMPLETED BY Admin Kabupaten]]+progress_assignment_fd68e454_ba45_4b85_8205_f3bf777ded24_10_Juli[[#This Row],[REJECTED BY Pengawas]]+progress_assignment_fd68e454_ba45_4b85_8205_f3bf777ded24_10_Juli[[#This Row],[EDITED BY Admin Kabupaten]]+progress_assignment_fd68e454_ba45_4b85_8205_f3bf777ded24_10_Juli[[#This Row],[APPROVED BY Pengawas]]+progress_assignment_fd68e454_ba45_4b85_8205_f3bf777ded24_10_Juli[[#This Row],[SUBMITTED BY Pencacah]]</f>
        <v>45928</v>
      </c>
      <c r="O14" s="2">
        <f>progress_assignment_fd68e454_ba45_4b85_8205_f3bf777ded24_10_Juli[[#This Row],[Not Draft + Open]]/progress_assignment_fd68e454_ba45_4b85_8205_f3bf777ded24_10_Juli[[#This Row],[Total]]*100</f>
        <v>24.85200696947069</v>
      </c>
      <c r="P14" s="4">
        <f>progress_assignment_fd68e454_ba45_4b85_8205_f3bf777ded24_10_Juli[[#This Row],[Persentase]]-progress_assignment_fd68e454_ba45_4b85_8205_f3bf777ded24_9_juli[[#This Row],[Persentase]]</f>
        <v>1.7488721544623331</v>
      </c>
      <c r="Q14">
        <f>RANK(progress_assignment_fd68e454_ba45_4b85_8205_f3bf777ded24_10_Juli[[#This Row],[Persentase]],progress_assignment_fd68e454_ba45_4b85_8205_f3bf777ded24_10_Juli[Persentase])</f>
        <v>13</v>
      </c>
    </row>
    <row r="16" spans="1:17" x14ac:dyDescent="0.3">
      <c r="A16">
        <v>7200</v>
      </c>
      <c r="B16">
        <f>SUM(progress_assignment_fd68e454_ba45_4b85_8205_f3bf777ded24_10_Juli[OPEN])</f>
        <v>772555</v>
      </c>
      <c r="C16">
        <f>SUM(progress_assignment_fd68e454_ba45_4b85_8205_f3bf777ded24_10_Juli[SUBMITTED BY Pencacah])</f>
        <v>210625</v>
      </c>
      <c r="D16">
        <f>SUM(progress_assignment_fd68e454_ba45_4b85_8205_f3bf777ded24_10_Juli[APPROVED BY Pengawas])</f>
        <v>224615</v>
      </c>
      <c r="E16">
        <f>SUM(progress_assignment_fd68e454_ba45_4b85_8205_f3bf777ded24_10_Juli[DRAFT])</f>
        <v>35056</v>
      </c>
      <c r="F16">
        <f>SUM(progress_assignment_fd68e454_ba45_4b85_8205_f3bf777ded24_10_Juli[EDITED BY Admin Kabupaten])</f>
        <v>2759</v>
      </c>
      <c r="G16">
        <f>SUM(progress_assignment_fd68e454_ba45_4b85_8205_f3bf777ded24_10_Juli[REJECTED BY Pengawas])</f>
        <v>17279</v>
      </c>
      <c r="H16">
        <f>SUM(progress_assignment_fd68e454_ba45_4b85_8205_f3bf777ded24_10_Juli[COMPLETED BY Admin Kabupaten])</f>
        <v>845</v>
      </c>
      <c r="I16">
        <f>SUM(progress_assignment_fd68e454_ba45_4b85_8205_f3bf777ded24_10_Juli[REVOKED BY Pengawas])</f>
        <v>827</v>
      </c>
      <c r="J16">
        <f>SUM(progress_assignment_fd68e454_ba45_4b85_8205_f3bf777ded24_10_Juli[SUBMITTED RESPONDENT])</f>
        <v>273</v>
      </c>
      <c r="K16">
        <f>SUM(progress_assignment_fd68e454_ba45_4b85_8205_f3bf777ded24_10_Juli[EDITED BY Pengawas])</f>
        <v>33</v>
      </c>
      <c r="L16">
        <f>SUM(progress_assignment_fd68e454_ba45_4b85_8205_f3bf777ded24_10_Juli[REJECTED BY Admin Kabupaten])</f>
        <v>191</v>
      </c>
      <c r="M16">
        <f>SUM(progress_assignment_fd68e454_ba45_4b85_8205_f3bf777ded24_10_Juli[Total])</f>
        <v>1265058</v>
      </c>
      <c r="N16">
        <f>SUM(progress_assignment_fd68e454_ba45_4b85_8205_f3bf777ded24_10_Juli[Not Draft + Open])</f>
        <v>457447</v>
      </c>
      <c r="O16" s="2">
        <f>N16/M16*100</f>
        <v>36.160160245617199</v>
      </c>
      <c r="P16" s="4">
        <f>O16-'9 Juli'!O16</f>
        <v>2.0071717091930239</v>
      </c>
    </row>
  </sheetData>
  <conditionalFormatting sqref="P2:P14">
    <cfRule type="cellIs" dxfId="7" priority="1" operator="greaterThanOrEqual">
      <formula>2.01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65B13-D4CD-460E-9245-6315D26DA28C}">
  <dimension ref="A1:Q16"/>
  <sheetViews>
    <sheetView workbookViewId="0">
      <selection activeCell="M1" sqref="M1:Q1"/>
    </sheetView>
  </sheetViews>
  <sheetFormatPr defaultRowHeight="14.4" x14ac:dyDescent="0.3"/>
  <cols>
    <col min="1" max="1" width="10" bestFit="1" customWidth="1"/>
    <col min="2" max="2" width="8" hidden="1" customWidth="1"/>
    <col min="3" max="3" width="24.6640625" hidden="1" customWidth="1"/>
    <col min="4" max="4" width="24.33203125" hidden="1" customWidth="1"/>
    <col min="5" max="5" width="8.6640625" hidden="1" customWidth="1"/>
    <col min="6" max="6" width="23" hidden="1" customWidth="1"/>
    <col min="7" max="7" width="27.88671875" hidden="1" customWidth="1"/>
    <col min="8" max="8" width="32.44140625" hidden="1" customWidth="1"/>
    <col min="9" max="9" width="22.88671875" hidden="1" customWidth="1"/>
    <col min="10" max="10" width="25.44140625" hidden="1" customWidth="1"/>
    <col min="11" max="11" width="20.88671875" hidden="1" customWidth="1"/>
    <col min="12" max="12" width="30" hidden="1" customWidth="1"/>
  </cols>
  <sheetData>
    <row r="1" spans="1:17" x14ac:dyDescent="0.3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14</v>
      </c>
      <c r="P1" s="1" t="s">
        <v>16</v>
      </c>
      <c r="Q1" t="s">
        <v>17</v>
      </c>
    </row>
    <row r="2" spans="1:17" x14ac:dyDescent="0.3">
      <c r="A2">
        <v>7201</v>
      </c>
      <c r="B2">
        <v>25894</v>
      </c>
      <c r="C2">
        <v>9231</v>
      </c>
      <c r="D2">
        <v>11283</v>
      </c>
      <c r="E2">
        <v>1537</v>
      </c>
      <c r="F2">
        <v>869</v>
      </c>
      <c r="G2">
        <v>145</v>
      </c>
      <c r="H2">
        <v>4</v>
      </c>
      <c r="I2">
        <v>33</v>
      </c>
      <c r="J2">
        <v>94</v>
      </c>
      <c r="K2">
        <v>1</v>
      </c>
      <c r="M2">
        <f>SUM(progress_assignment_fd68e454_ba45_4b85_8205_f3bf777ded24_11_Juli[[#This Row],[OPEN]:[REJECTED BY Admin Kabupaten]])</f>
        <v>49091</v>
      </c>
      <c r="N2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21658</v>
      </c>
      <c r="O2" s="2">
        <f>progress_assignment_fd68e454_ba45_4b85_8205_f3bf777ded24_11_Juli[[#This Row],[Not Draft + Open]]/progress_assignment_fd68e454_ba45_4b85_8205_f3bf777ded24_11_Juli[[#This Row],[Total]]*100</f>
        <v>44.118066448025097</v>
      </c>
      <c r="P2" s="4">
        <f>progress_assignment_fd68e454_ba45_4b85_8205_f3bf777ded24_11_Juli[[#This Row],[Persentase]]-progress_assignment_fd68e454_ba45_4b85_8205_f3bf777ded24_10_Juli[[#This Row],[Persentase]]</f>
        <v>2.132349531370366</v>
      </c>
      <c r="Q2">
        <f>RANK(progress_assignment_fd68e454_ba45_4b85_8205_f3bf777ded24_11_Juli[[#This Row],[Persentase]],progress_assignment_fd68e454_ba45_4b85_8205_f3bf777ded24_11_Juli[Persentase])</f>
        <v>2</v>
      </c>
    </row>
    <row r="3" spans="1:17" x14ac:dyDescent="0.3">
      <c r="A3">
        <v>7202</v>
      </c>
      <c r="B3">
        <v>88997</v>
      </c>
      <c r="C3">
        <v>42780</v>
      </c>
      <c r="D3">
        <v>17027</v>
      </c>
      <c r="E3">
        <v>4053</v>
      </c>
      <c r="F3">
        <v>2384</v>
      </c>
      <c r="G3">
        <v>34</v>
      </c>
      <c r="H3">
        <v>13</v>
      </c>
      <c r="I3">
        <v>65</v>
      </c>
      <c r="J3">
        <v>4</v>
      </c>
      <c r="K3">
        <v>1</v>
      </c>
      <c r="M3">
        <f>SUM(progress_assignment_fd68e454_ba45_4b85_8205_f3bf777ded24_11_Juli[[#This Row],[OPEN]:[REJECTED BY Admin Kabupaten]])</f>
        <v>155358</v>
      </c>
      <c r="N3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62306</v>
      </c>
      <c r="O3" s="2">
        <f>progress_assignment_fd68e454_ba45_4b85_8205_f3bf777ded24_11_Juli[[#This Row],[Not Draft + Open]]/progress_assignment_fd68e454_ba45_4b85_8205_f3bf777ded24_11_Juli[[#This Row],[Total]]*100</f>
        <v>40.104790226444727</v>
      </c>
      <c r="P3" s="4">
        <f>progress_assignment_fd68e454_ba45_4b85_8205_f3bf777ded24_11_Juli[[#This Row],[Persentase]]-progress_assignment_fd68e454_ba45_4b85_8205_f3bf777ded24_10_Juli[[#This Row],[Persentase]]</f>
        <v>1.8240753222692803</v>
      </c>
      <c r="Q3">
        <f>RANK(progress_assignment_fd68e454_ba45_4b85_8205_f3bf777ded24_11_Juli[[#This Row],[Persentase]],progress_assignment_fd68e454_ba45_4b85_8205_f3bf777ded24_11_Juli[Persentase])</f>
        <v>7</v>
      </c>
    </row>
    <row r="4" spans="1:17" x14ac:dyDescent="0.3">
      <c r="A4">
        <v>7203</v>
      </c>
      <c r="B4">
        <v>38237</v>
      </c>
      <c r="C4">
        <v>10401</v>
      </c>
      <c r="D4">
        <v>6174</v>
      </c>
      <c r="E4">
        <v>2345</v>
      </c>
      <c r="F4">
        <v>224</v>
      </c>
      <c r="G4">
        <v>32</v>
      </c>
      <c r="H4">
        <v>69</v>
      </c>
      <c r="I4">
        <v>34</v>
      </c>
      <c r="K4">
        <v>1</v>
      </c>
      <c r="L4">
        <v>5</v>
      </c>
      <c r="M4">
        <f>SUM(progress_assignment_fd68e454_ba45_4b85_8205_f3bf777ded24_11_Juli[[#This Row],[OPEN]:[REJECTED BY Admin Kabupaten]])</f>
        <v>57522</v>
      </c>
      <c r="N4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16938</v>
      </c>
      <c r="O4" s="2">
        <f>progress_assignment_fd68e454_ba45_4b85_8205_f3bf777ded24_11_Juli[[#This Row],[Not Draft + Open]]/progress_assignment_fd68e454_ba45_4b85_8205_f3bf777ded24_11_Juli[[#This Row],[Total]]*100</f>
        <v>29.446124960884529</v>
      </c>
      <c r="P4" s="4">
        <f>progress_assignment_fd68e454_ba45_4b85_8205_f3bf777ded24_11_Juli[[#This Row],[Persentase]]-progress_assignment_fd68e454_ba45_4b85_8205_f3bf777ded24_10_Juli[[#This Row],[Persentase]]</f>
        <v>1.6128647590416172</v>
      </c>
      <c r="Q4">
        <f>RANK(progress_assignment_fd68e454_ba45_4b85_8205_f3bf777ded24_11_Juli[[#This Row],[Persentase]],progress_assignment_fd68e454_ba45_4b85_8205_f3bf777ded24_11_Juli[Persentase])</f>
        <v>12</v>
      </c>
    </row>
    <row r="5" spans="1:17" x14ac:dyDescent="0.3">
      <c r="A5">
        <v>7204</v>
      </c>
      <c r="B5">
        <v>64675</v>
      </c>
      <c r="C5">
        <v>19692</v>
      </c>
      <c r="D5">
        <v>23417</v>
      </c>
      <c r="E5">
        <v>3493</v>
      </c>
      <c r="F5">
        <v>1986</v>
      </c>
      <c r="G5">
        <v>379</v>
      </c>
      <c r="H5">
        <v>23</v>
      </c>
      <c r="I5">
        <v>74</v>
      </c>
      <c r="J5">
        <v>47</v>
      </c>
      <c r="L5">
        <v>3</v>
      </c>
      <c r="M5">
        <f>SUM(progress_assignment_fd68e454_ba45_4b85_8205_f3bf777ded24_11_Juli[[#This Row],[OPEN]:[REJECTED BY Admin Kabupaten]])</f>
        <v>113789</v>
      </c>
      <c r="N5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45621</v>
      </c>
      <c r="O5" s="2">
        <f>progress_assignment_fd68e454_ba45_4b85_8205_f3bf777ded24_11_Juli[[#This Row],[Not Draft + Open]]/progress_assignment_fd68e454_ba45_4b85_8205_f3bf777ded24_11_Juli[[#This Row],[Total]]*100</f>
        <v>40.09262758263101</v>
      </c>
      <c r="P5" s="4">
        <f>progress_assignment_fd68e454_ba45_4b85_8205_f3bf777ded24_11_Juli[[#This Row],[Persentase]]-progress_assignment_fd68e454_ba45_4b85_8205_f3bf777ded24_10_Juli[[#This Row],[Persentase]]</f>
        <v>1.8530054232647402</v>
      </c>
      <c r="Q5">
        <f>RANK(progress_assignment_fd68e454_ba45_4b85_8205_f3bf777ded24_11_Juli[[#This Row],[Persentase]],progress_assignment_fd68e454_ba45_4b85_8205_f3bf777ded24_11_Juli[Persentase])</f>
        <v>8</v>
      </c>
    </row>
    <row r="6" spans="1:17" x14ac:dyDescent="0.3">
      <c r="A6">
        <v>7205</v>
      </c>
      <c r="B6">
        <v>68528</v>
      </c>
      <c r="C6">
        <v>9025</v>
      </c>
      <c r="D6">
        <v>36212</v>
      </c>
      <c r="E6">
        <v>2267</v>
      </c>
      <c r="F6">
        <v>842</v>
      </c>
      <c r="G6">
        <v>583</v>
      </c>
      <c r="H6">
        <v>483</v>
      </c>
      <c r="I6">
        <v>96</v>
      </c>
      <c r="J6">
        <v>5</v>
      </c>
      <c r="L6">
        <v>127</v>
      </c>
      <c r="M6">
        <f>SUM(progress_assignment_fd68e454_ba45_4b85_8205_f3bf777ded24_11_Juli[[#This Row],[OPEN]:[REJECTED BY Admin Kabupaten]])</f>
        <v>118168</v>
      </c>
      <c r="N6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47373</v>
      </c>
      <c r="O6" s="2">
        <f>progress_assignment_fd68e454_ba45_4b85_8205_f3bf777ded24_11_Juli[[#This Row],[Not Draft + Open]]/progress_assignment_fd68e454_ba45_4b85_8205_f3bf777ded24_11_Juli[[#This Row],[Total]]*100</f>
        <v>40.089533545460696</v>
      </c>
      <c r="P6" s="4">
        <f>progress_assignment_fd68e454_ba45_4b85_8205_f3bf777ded24_11_Juli[[#This Row],[Persentase]]-progress_assignment_fd68e454_ba45_4b85_8205_f3bf777ded24_10_Juli[[#This Row],[Persentase]]</f>
        <v>1.7562710406797635</v>
      </c>
      <c r="Q6">
        <f>RANK(progress_assignment_fd68e454_ba45_4b85_8205_f3bf777ded24_11_Juli[[#This Row],[Persentase]],progress_assignment_fd68e454_ba45_4b85_8205_f3bf777ded24_11_Juli[Persentase])</f>
        <v>9</v>
      </c>
    </row>
    <row r="7" spans="1:17" x14ac:dyDescent="0.3">
      <c r="A7">
        <v>7206</v>
      </c>
      <c r="B7">
        <v>49830</v>
      </c>
      <c r="C7">
        <v>12465</v>
      </c>
      <c r="D7">
        <v>21382</v>
      </c>
      <c r="E7">
        <v>2334</v>
      </c>
      <c r="F7">
        <v>801</v>
      </c>
      <c r="G7">
        <v>449</v>
      </c>
      <c r="I7">
        <v>78</v>
      </c>
      <c r="K7">
        <v>2</v>
      </c>
      <c r="M7">
        <f>SUM(progress_assignment_fd68e454_ba45_4b85_8205_f3bf777ded24_11_Juli[[#This Row],[OPEN]:[REJECTED BY Admin Kabupaten]])</f>
        <v>87341</v>
      </c>
      <c r="N7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35173</v>
      </c>
      <c r="O7" s="2">
        <f>progress_assignment_fd68e454_ba45_4b85_8205_f3bf777ded24_11_Juli[[#This Row],[Not Draft + Open]]/progress_assignment_fd68e454_ba45_4b85_8205_f3bf777ded24_11_Juli[[#This Row],[Total]]*100</f>
        <v>40.27089224991699</v>
      </c>
      <c r="P7" s="4">
        <f>progress_assignment_fd68e454_ba45_4b85_8205_f3bf777ded24_11_Juli[[#This Row],[Persentase]]-progress_assignment_fd68e454_ba45_4b85_8205_f3bf777ded24_10_Juli[[#This Row],[Persentase]]</f>
        <v>1.903550008666663</v>
      </c>
      <c r="Q7">
        <f>RANK(progress_assignment_fd68e454_ba45_4b85_8205_f3bf777ded24_11_Juli[[#This Row],[Persentase]],progress_assignment_fd68e454_ba45_4b85_8205_f3bf777ded24_11_Juli[Persentase])</f>
        <v>5</v>
      </c>
    </row>
    <row r="8" spans="1:17" x14ac:dyDescent="0.3">
      <c r="A8">
        <v>7207</v>
      </c>
      <c r="B8">
        <v>35766</v>
      </c>
      <c r="C8">
        <v>12535</v>
      </c>
      <c r="D8">
        <v>10056</v>
      </c>
      <c r="E8">
        <v>2973</v>
      </c>
      <c r="F8">
        <v>1691</v>
      </c>
      <c r="G8">
        <v>111</v>
      </c>
      <c r="H8">
        <v>1</v>
      </c>
      <c r="I8">
        <v>41</v>
      </c>
      <c r="J8">
        <v>46</v>
      </c>
      <c r="L8">
        <v>4</v>
      </c>
      <c r="M8">
        <f>SUM(progress_assignment_fd68e454_ba45_4b85_8205_f3bf777ded24_11_Juli[[#This Row],[OPEN]:[REJECTED BY Admin Kabupaten]])</f>
        <v>63224</v>
      </c>
      <c r="N8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24485</v>
      </c>
      <c r="O8" s="2">
        <f>progress_assignment_fd68e454_ba45_4b85_8205_f3bf777ded24_11_Juli[[#This Row],[Not Draft + Open]]/progress_assignment_fd68e454_ba45_4b85_8205_f3bf777ded24_11_Juli[[#This Row],[Total]]*100</f>
        <v>38.727382006832848</v>
      </c>
      <c r="P8" s="4">
        <f>progress_assignment_fd68e454_ba45_4b85_8205_f3bf777ded24_11_Juli[[#This Row],[Persentase]]-progress_assignment_fd68e454_ba45_4b85_8205_f3bf777ded24_10_Juli[[#This Row],[Persentase]]</f>
        <v>1.9701528997467364</v>
      </c>
      <c r="Q8">
        <f>RANK(progress_assignment_fd68e454_ba45_4b85_8205_f3bf777ded24_11_Juli[[#This Row],[Persentase]],progress_assignment_fd68e454_ba45_4b85_8205_f3bf777ded24_11_Juli[Persentase])</f>
        <v>10</v>
      </c>
    </row>
    <row r="9" spans="1:17" x14ac:dyDescent="0.3">
      <c r="A9">
        <v>7208</v>
      </c>
      <c r="B9">
        <v>103139</v>
      </c>
      <c r="C9">
        <v>36381</v>
      </c>
      <c r="D9">
        <v>36722</v>
      </c>
      <c r="E9">
        <v>3315</v>
      </c>
      <c r="F9">
        <v>3649</v>
      </c>
      <c r="G9">
        <v>33</v>
      </c>
      <c r="H9">
        <v>1129</v>
      </c>
      <c r="I9">
        <v>92</v>
      </c>
      <c r="K9">
        <v>9</v>
      </c>
      <c r="L9">
        <v>13</v>
      </c>
      <c r="M9">
        <f>SUM(progress_assignment_fd68e454_ba45_4b85_8205_f3bf777ded24_11_Juli[[#This Row],[OPEN]:[REJECTED BY Admin Kabupaten]])</f>
        <v>184482</v>
      </c>
      <c r="N9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78010</v>
      </c>
      <c r="O9" s="2">
        <f>progress_assignment_fd68e454_ba45_4b85_8205_f3bf777ded24_11_Juli[[#This Row],[Not Draft + Open]]/progress_assignment_fd68e454_ba45_4b85_8205_f3bf777ded24_11_Juli[[#This Row],[Total]]*100</f>
        <v>42.285968278748058</v>
      </c>
      <c r="P9" s="4">
        <f>progress_assignment_fd68e454_ba45_4b85_8205_f3bf777ded24_11_Juli[[#This Row],[Persentase]]-progress_assignment_fd68e454_ba45_4b85_8205_f3bf777ded24_10_Juli[[#This Row],[Persentase]]</f>
        <v>1.7639491666918019</v>
      </c>
      <c r="Q9">
        <f>RANK(progress_assignment_fd68e454_ba45_4b85_8205_f3bf777ded24_11_Juli[[#This Row],[Persentase]],progress_assignment_fd68e454_ba45_4b85_8205_f3bf777ded24_11_Juli[Persentase])</f>
        <v>3</v>
      </c>
    </row>
    <row r="10" spans="1:17" x14ac:dyDescent="0.3">
      <c r="A10">
        <v>7209</v>
      </c>
      <c r="B10">
        <v>36218</v>
      </c>
      <c r="C10">
        <v>10326</v>
      </c>
      <c r="D10">
        <v>13839</v>
      </c>
      <c r="E10">
        <v>1272</v>
      </c>
      <c r="F10">
        <v>2293</v>
      </c>
      <c r="I10">
        <v>113</v>
      </c>
      <c r="J10">
        <v>8</v>
      </c>
      <c r="K10">
        <v>4</v>
      </c>
      <c r="M10">
        <f>SUM(progress_assignment_fd68e454_ba45_4b85_8205_f3bf777ded24_11_Juli[[#This Row],[OPEN]:[REJECTED BY Admin Kabupaten]])</f>
        <v>64073</v>
      </c>
      <c r="N10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26575</v>
      </c>
      <c r="O10" s="2">
        <f>progress_assignment_fd68e454_ba45_4b85_8205_f3bf777ded24_11_Juli[[#This Row],[Not Draft + Open]]/progress_assignment_fd68e454_ba45_4b85_8205_f3bf777ded24_11_Juli[[#This Row],[Total]]*100</f>
        <v>41.476128790598224</v>
      </c>
      <c r="P10" s="4">
        <f>progress_assignment_fd68e454_ba45_4b85_8205_f3bf777ded24_11_Juli[[#This Row],[Persentase]]-progress_assignment_fd68e454_ba45_4b85_8205_f3bf777ded24_10_Juli[[#This Row],[Persentase]]</f>
        <v>1.7000035459798326</v>
      </c>
      <c r="Q10">
        <f>RANK(progress_assignment_fd68e454_ba45_4b85_8205_f3bf777ded24_11_Juli[[#This Row],[Persentase]],progress_assignment_fd68e454_ba45_4b85_8205_f3bf777ded24_11_Juli[Persentase])</f>
        <v>4</v>
      </c>
    </row>
    <row r="11" spans="1:17" x14ac:dyDescent="0.3">
      <c r="A11">
        <v>7210</v>
      </c>
      <c r="B11">
        <v>67196</v>
      </c>
      <c r="C11">
        <v>16389</v>
      </c>
      <c r="D11">
        <v>27642</v>
      </c>
      <c r="E11">
        <v>1880</v>
      </c>
      <c r="F11">
        <v>1870</v>
      </c>
      <c r="G11">
        <v>147</v>
      </c>
      <c r="H11">
        <v>118</v>
      </c>
      <c r="I11">
        <v>80</v>
      </c>
      <c r="J11">
        <v>8</v>
      </c>
      <c r="L11">
        <v>4</v>
      </c>
      <c r="M11">
        <f>SUM(progress_assignment_fd68e454_ba45_4b85_8205_f3bf777ded24_11_Juli[[#This Row],[OPEN]:[REJECTED BY Admin Kabupaten]])</f>
        <v>115334</v>
      </c>
      <c r="N11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46258</v>
      </c>
      <c r="O11" s="2">
        <f>progress_assignment_fd68e454_ba45_4b85_8205_f3bf777ded24_11_Juli[[#This Row],[Not Draft + Open]]/progress_assignment_fd68e454_ba45_4b85_8205_f3bf777ded24_11_Juli[[#This Row],[Total]]*100</f>
        <v>40.107860648204344</v>
      </c>
      <c r="P11" s="4">
        <f>progress_assignment_fd68e454_ba45_4b85_8205_f3bf777ded24_11_Juli[[#This Row],[Persentase]]-progress_assignment_fd68e454_ba45_4b85_8205_f3bf777ded24_10_Juli[[#This Row],[Persentase]]</f>
        <v>1.7433872731575661</v>
      </c>
      <c r="Q11">
        <f>RANK(progress_assignment_fd68e454_ba45_4b85_8205_f3bf777ded24_11_Juli[[#This Row],[Persentase]],progress_assignment_fd68e454_ba45_4b85_8205_f3bf777ded24_11_Juli[Persentase])</f>
        <v>6</v>
      </c>
    </row>
    <row r="12" spans="1:17" x14ac:dyDescent="0.3">
      <c r="A12">
        <v>7211</v>
      </c>
      <c r="B12">
        <v>16526</v>
      </c>
      <c r="C12">
        <v>891</v>
      </c>
      <c r="D12">
        <v>12511</v>
      </c>
      <c r="E12">
        <v>154</v>
      </c>
      <c r="F12">
        <v>85</v>
      </c>
      <c r="G12">
        <v>8</v>
      </c>
      <c r="I12">
        <v>13</v>
      </c>
      <c r="J12">
        <v>24</v>
      </c>
      <c r="K12">
        <v>1</v>
      </c>
      <c r="M12">
        <f>SUM(progress_assignment_fd68e454_ba45_4b85_8205_f3bf777ded24_11_Juli[[#This Row],[OPEN]:[REJECTED BY Admin Kabupaten]])</f>
        <v>30213</v>
      </c>
      <c r="N12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13531</v>
      </c>
      <c r="O12" s="2">
        <f>progress_assignment_fd68e454_ba45_4b85_8205_f3bf777ded24_11_Juli[[#This Row],[Not Draft + Open]]/progress_assignment_fd68e454_ba45_4b85_8205_f3bf777ded24_11_Juli[[#This Row],[Total]]*100</f>
        <v>44.785357296527984</v>
      </c>
      <c r="P12" s="4">
        <f>progress_assignment_fd68e454_ba45_4b85_8205_f3bf777ded24_11_Juli[[#This Row],[Persentase]]-progress_assignment_fd68e454_ba45_4b85_8205_f3bf777ded24_10_Juli[[#This Row],[Persentase]]</f>
        <v>1.5471356641457632</v>
      </c>
      <c r="Q12">
        <f>RANK(progress_assignment_fd68e454_ba45_4b85_8205_f3bf777ded24_11_Juli[[#This Row],[Persentase]],progress_assignment_fd68e454_ba45_4b85_8205_f3bf777ded24_11_Juli[Persentase])</f>
        <v>1</v>
      </c>
    </row>
    <row r="13" spans="1:17" x14ac:dyDescent="0.3">
      <c r="A13">
        <v>7212</v>
      </c>
      <c r="B13">
        <v>30415</v>
      </c>
      <c r="C13">
        <v>6048</v>
      </c>
      <c r="D13">
        <v>8036</v>
      </c>
      <c r="E13">
        <v>831</v>
      </c>
      <c r="F13">
        <v>566</v>
      </c>
      <c r="G13">
        <v>17</v>
      </c>
      <c r="H13">
        <v>35</v>
      </c>
      <c r="I13">
        <v>72</v>
      </c>
      <c r="J13">
        <v>1</v>
      </c>
      <c r="M13">
        <f>SUM(progress_assignment_fd68e454_ba45_4b85_8205_f3bf777ded24_11_Juli[[#This Row],[OPEN]:[REJECTED BY Admin Kabupaten]])</f>
        <v>46021</v>
      </c>
      <c r="N13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14775</v>
      </c>
      <c r="O13" s="2">
        <f>progress_assignment_fd68e454_ba45_4b85_8205_f3bf777ded24_11_Juli[[#This Row],[Not Draft + Open]]/progress_assignment_fd68e454_ba45_4b85_8205_f3bf777ded24_11_Juli[[#This Row],[Total]]*100</f>
        <v>32.10490862866952</v>
      </c>
      <c r="P13" s="4">
        <f>progress_assignment_fd68e454_ba45_4b85_8205_f3bf777ded24_11_Juli[[#This Row],[Persentase]]-progress_assignment_fd68e454_ba45_4b85_8205_f3bf777ded24_10_Juli[[#This Row],[Persentase]]</f>
        <v>1.8124446963154242</v>
      </c>
      <c r="Q13">
        <f>RANK(progress_assignment_fd68e454_ba45_4b85_8205_f3bf777ded24_11_Juli[[#This Row],[Persentase]],progress_assignment_fd68e454_ba45_4b85_8205_f3bf777ded24_11_Juli[Persentase])</f>
        <v>11</v>
      </c>
    </row>
    <row r="14" spans="1:17" x14ac:dyDescent="0.3">
      <c r="A14">
        <v>7271</v>
      </c>
      <c r="B14">
        <v>128127</v>
      </c>
      <c r="C14">
        <v>23469</v>
      </c>
      <c r="D14">
        <v>22866</v>
      </c>
      <c r="E14">
        <v>8319</v>
      </c>
      <c r="F14">
        <v>1154</v>
      </c>
      <c r="G14">
        <v>940</v>
      </c>
      <c r="H14">
        <v>715</v>
      </c>
      <c r="I14">
        <v>85</v>
      </c>
      <c r="J14">
        <v>34</v>
      </c>
      <c r="K14">
        <v>8</v>
      </c>
      <c r="M14">
        <f>SUM(progress_assignment_fd68e454_ba45_4b85_8205_f3bf777ded24_11_Juli[[#This Row],[OPEN]:[REJECTED BY Admin Kabupaten]])</f>
        <v>185717</v>
      </c>
      <c r="N14">
        <f>progress_assignment_fd68e454_ba45_4b85_8205_f3bf777ded24_11_Juli[[#This Row],[REJECTED BY Admin Kabupaten]]-progress_assignment_fd68e454_ba45_4b85_8205_f3bf777ded24_11_Juli[[#This Row],[EDITED BY Pengawas]]+progress_assignment_fd68e454_ba45_4b85_8205_f3bf777ded24_11_Juli[[#This Row],[SUBMITTED RESPONDENT]]+progress_assignment_fd68e454_ba45_4b85_8205_f3bf777ded24_11_Juli[[#This Row],[REVOKED BY Pengawas]]+progress_assignment_fd68e454_ba45_4b85_8205_f3bf777ded24_11_Juli[[#This Row],[COMPLETED BY Admin Kabupaten]]+progress_assignment_fd68e454_ba45_4b85_8205_f3bf777ded24_11_Juli[[#This Row],[EDITED BY Admin Kabupaten]]+progress_assignment_fd68e454_ba45_4b85_8205_f3bf777ded24_11_Juli[[#This Row],[REJECTED BY Pengawas]]+progress_assignment_fd68e454_ba45_4b85_8205_f3bf777ded24_11_Juli[[#This Row],[APPROVED BY Pengawas]]+progress_assignment_fd68e454_ba45_4b85_8205_f3bf777ded24_11_Juli[[#This Row],[SUBMITTED BY Pencacah]]</f>
        <v>49255</v>
      </c>
      <c r="O14" s="2">
        <f>progress_assignment_fd68e454_ba45_4b85_8205_f3bf777ded24_11_Juli[[#This Row],[Not Draft + Open]]/progress_assignment_fd68e454_ba45_4b85_8205_f3bf777ded24_11_Juli[[#This Row],[Total]]*100</f>
        <v>26.521535454481821</v>
      </c>
      <c r="P14" s="4">
        <f>progress_assignment_fd68e454_ba45_4b85_8205_f3bf777ded24_11_Juli[[#This Row],[Persentase]]-progress_assignment_fd68e454_ba45_4b85_8205_f3bf777ded24_10_Juli[[#This Row],[Persentase]]</f>
        <v>1.6695284850111314</v>
      </c>
      <c r="Q14">
        <f>RANK(progress_assignment_fd68e454_ba45_4b85_8205_f3bf777ded24_11_Juli[[#This Row],[Persentase]],progress_assignment_fd68e454_ba45_4b85_8205_f3bf777ded24_11_Juli[Persentase])</f>
        <v>13</v>
      </c>
    </row>
    <row r="16" spans="1:17" x14ac:dyDescent="0.3">
      <c r="A16" s="5">
        <v>7200</v>
      </c>
      <c r="B16" s="5">
        <f>SUM(progress_assignment_fd68e454_ba45_4b85_8205_f3bf777ded24_11_Juli[OPEN])</f>
        <v>753548</v>
      </c>
      <c r="C16" s="5">
        <f>SUM(progress_assignment_fd68e454_ba45_4b85_8205_f3bf777ded24_11_Juli[SUBMITTED BY Pencacah])</f>
        <v>209633</v>
      </c>
      <c r="D16" s="5">
        <f>SUM(progress_assignment_fd68e454_ba45_4b85_8205_f3bf777ded24_11_Juli[APPROVED BY Pengawas])</f>
        <v>247167</v>
      </c>
      <c r="E16" s="5">
        <f>SUM(progress_assignment_fd68e454_ba45_4b85_8205_f3bf777ded24_11_Juli[DRAFT])</f>
        <v>34773</v>
      </c>
      <c r="F16" s="5">
        <f>SUM(progress_assignment_fd68e454_ba45_4b85_8205_f3bf777ded24_11_Juli[REJECTED BY Pengawas])</f>
        <v>18414</v>
      </c>
      <c r="G16" s="5">
        <f>SUM(progress_assignment_fd68e454_ba45_4b85_8205_f3bf777ded24_11_Juli[EDITED BY Admin Kabupaten])</f>
        <v>2878</v>
      </c>
      <c r="H16" s="5">
        <f>SUM(progress_assignment_fd68e454_ba45_4b85_8205_f3bf777ded24_11_Juli[COMPLETED BY Admin Kabupaten])</f>
        <v>2590</v>
      </c>
      <c r="I16" s="5">
        <f>SUM(progress_assignment_fd68e454_ba45_4b85_8205_f3bf777ded24_11_Juli[REVOKED BY Pengawas])</f>
        <v>876</v>
      </c>
      <c r="J16" s="5">
        <f>SUM(progress_assignment_fd68e454_ba45_4b85_8205_f3bf777ded24_11_Juli[SUBMITTED RESPONDENT])</f>
        <v>271</v>
      </c>
      <c r="K16" s="5">
        <f>SUM(progress_assignment_fd68e454_ba45_4b85_8205_f3bf777ded24_11_Juli[EDITED BY Pengawas])</f>
        <v>27</v>
      </c>
      <c r="L16" s="5">
        <f>SUM(progress_assignment_fd68e454_ba45_4b85_8205_f3bf777ded24_11_Juli[REJECTED BY Admin Kabupaten])</f>
        <v>156</v>
      </c>
      <c r="M16" s="5">
        <f>SUM(progress_assignment_fd68e454_ba45_4b85_8205_f3bf777ded24_11_Juli[Total])</f>
        <v>1270333</v>
      </c>
      <c r="N16" s="5">
        <f>SUM(progress_assignment_fd68e454_ba45_4b85_8205_f3bf777ded24_11_Juli[Not Draft + Open])</f>
        <v>481958</v>
      </c>
      <c r="O16" s="6">
        <f>N16/M16*100</f>
        <v>37.939500902519264</v>
      </c>
      <c r="P16" s="7">
        <f>O16-'10 Juli'!O16</f>
        <v>1.7793406569020647</v>
      </c>
      <c r="Q16" s="5"/>
    </row>
  </sheetData>
  <conditionalFormatting sqref="P2:P14">
    <cfRule type="cellIs" dxfId="6" priority="1" operator="greaterThanOrEqual">
      <formula>2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2EF16-23C5-4BEA-B865-C2A1E5184553}">
  <dimension ref="A1:Q16"/>
  <sheetViews>
    <sheetView workbookViewId="0">
      <selection activeCell="M1" sqref="M1:Q1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27.88671875" hidden="1" customWidth="1"/>
    <col min="8" max="8" width="32.44140625" hidden="1" customWidth="1"/>
    <col min="9" max="9" width="22.88671875" hidden="1" customWidth="1"/>
    <col min="10" max="10" width="25.44140625" hidden="1" customWidth="1"/>
    <col min="11" max="11" width="20.88671875" hidden="1" customWidth="1"/>
    <col min="12" max="12" width="30" hidden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14</v>
      </c>
      <c r="P1" s="1" t="s">
        <v>16</v>
      </c>
      <c r="Q1" t="s">
        <v>17</v>
      </c>
    </row>
    <row r="2" spans="1:17" x14ac:dyDescent="0.3">
      <c r="A2">
        <v>7201</v>
      </c>
      <c r="B2">
        <v>24961</v>
      </c>
      <c r="C2">
        <v>12239</v>
      </c>
      <c r="D2">
        <v>9187</v>
      </c>
      <c r="E2">
        <v>1763</v>
      </c>
      <c r="F2">
        <v>947</v>
      </c>
      <c r="G2">
        <v>144</v>
      </c>
      <c r="H2">
        <v>4</v>
      </c>
      <c r="I2">
        <v>41</v>
      </c>
      <c r="J2">
        <v>94</v>
      </c>
      <c r="K2">
        <v>1</v>
      </c>
      <c r="M2">
        <f>SUM(progress_assignment_fd68e454_ba45_4b85_8205_f3bf777ded24_12_juli[[#This Row],[OPEN]:[REJECTED BY Admin Kabupaten]])</f>
        <v>49381</v>
      </c>
      <c r="N2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22657</v>
      </c>
      <c r="O2" s="2">
        <f>progress_assignment_fd68e454_ba45_4b85_8205_f3bf777ded24_12_juli[[#This Row],[Not Draft + Open]]/progress_assignment_fd68e454_ba45_4b85_8205_f3bf777ded24_12_juli[[#This Row],[Total]]*100</f>
        <v>45.882019400174158</v>
      </c>
      <c r="P2" s="4">
        <f>progress_assignment_fd68e454_ba45_4b85_8205_f3bf777ded24_12_juli[[#This Row],[Persentase]]-progress_assignment_fd68e454_ba45_4b85_8205_f3bf777ded24_11_Juli[[#This Row],[Persentase]]</f>
        <v>1.7639529521490616</v>
      </c>
      <c r="Q2">
        <f>RANK(progress_assignment_fd68e454_ba45_4b85_8205_f3bf777ded24_12_juli[[#This Row],[Persentase]],progress_assignment_fd68e454_ba45_4b85_8205_f3bf777ded24_12_juli[Persentase])</f>
        <v>1</v>
      </c>
    </row>
    <row r="3" spans="1:17" x14ac:dyDescent="0.3">
      <c r="A3">
        <v>7202</v>
      </c>
      <c r="B3">
        <v>86728</v>
      </c>
      <c r="C3">
        <v>19942</v>
      </c>
      <c r="D3">
        <v>42358</v>
      </c>
      <c r="E3">
        <v>4338</v>
      </c>
      <c r="F3">
        <v>2657</v>
      </c>
      <c r="G3">
        <v>37</v>
      </c>
      <c r="H3">
        <v>13</v>
      </c>
      <c r="I3">
        <v>65</v>
      </c>
      <c r="J3">
        <v>4</v>
      </c>
      <c r="K3">
        <v>1</v>
      </c>
      <c r="M3">
        <f>SUM(progress_assignment_fd68e454_ba45_4b85_8205_f3bf777ded24_12_juli[[#This Row],[OPEN]:[REJECTED BY Admin Kabupaten]])</f>
        <v>156143</v>
      </c>
      <c r="N3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65077</v>
      </c>
      <c r="O3" s="2">
        <f>progress_assignment_fd68e454_ba45_4b85_8205_f3bf777ded24_12_juli[[#This Row],[Not Draft + Open]]/progress_assignment_fd68e454_ba45_4b85_8205_f3bf777ded24_12_juli[[#This Row],[Total]]*100</f>
        <v>41.677820971801488</v>
      </c>
      <c r="P3" s="4">
        <f>progress_assignment_fd68e454_ba45_4b85_8205_f3bf777ded24_12_juli[[#This Row],[Persentase]]-progress_assignment_fd68e454_ba45_4b85_8205_f3bf777ded24_11_Juli[[#This Row],[Persentase]]</f>
        <v>1.5730307453567605</v>
      </c>
      <c r="Q3">
        <f>RANK(progress_assignment_fd68e454_ba45_4b85_8205_f3bf777ded24_12_juli[[#This Row],[Persentase]],progress_assignment_fd68e454_ba45_4b85_8205_f3bf777ded24_12_juli[Persentase])</f>
        <v>7</v>
      </c>
    </row>
    <row r="4" spans="1:17" x14ac:dyDescent="0.3">
      <c r="A4">
        <v>7203</v>
      </c>
      <c r="B4">
        <v>37681</v>
      </c>
      <c r="C4">
        <v>6950</v>
      </c>
      <c r="D4">
        <v>10686</v>
      </c>
      <c r="E4">
        <v>2382</v>
      </c>
      <c r="F4">
        <v>204</v>
      </c>
      <c r="G4">
        <v>32</v>
      </c>
      <c r="H4">
        <v>69</v>
      </c>
      <c r="I4">
        <v>20</v>
      </c>
      <c r="L4">
        <v>1</v>
      </c>
      <c r="M4">
        <f>SUM(progress_assignment_fd68e454_ba45_4b85_8205_f3bf777ded24_12_juli[[#This Row],[OPEN]:[REJECTED BY Admin Kabupaten]])</f>
        <v>58025</v>
      </c>
      <c r="N4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17962</v>
      </c>
      <c r="O4" s="2">
        <f>progress_assignment_fd68e454_ba45_4b85_8205_f3bf777ded24_12_juli[[#This Row],[Not Draft + Open]]/progress_assignment_fd68e454_ba45_4b85_8205_f3bf777ded24_12_juli[[#This Row],[Total]]*100</f>
        <v>30.955622576475655</v>
      </c>
      <c r="P4" s="4">
        <f>progress_assignment_fd68e454_ba45_4b85_8205_f3bf777ded24_12_juli[[#This Row],[Persentase]]-progress_assignment_fd68e454_ba45_4b85_8205_f3bf777ded24_11_Juli[[#This Row],[Persentase]]</f>
        <v>1.5094976155911262</v>
      </c>
      <c r="Q4">
        <f>RANK(progress_assignment_fd68e454_ba45_4b85_8205_f3bf777ded24_12_juli[[#This Row],[Persentase]],progress_assignment_fd68e454_ba45_4b85_8205_f3bf777ded24_12_juli[Persentase])</f>
        <v>12</v>
      </c>
    </row>
    <row r="5" spans="1:17" x14ac:dyDescent="0.3">
      <c r="A5">
        <v>7204</v>
      </c>
      <c r="B5">
        <v>63014</v>
      </c>
      <c r="C5">
        <v>26034</v>
      </c>
      <c r="D5">
        <v>18775</v>
      </c>
      <c r="E5">
        <v>3658</v>
      </c>
      <c r="F5">
        <v>2087</v>
      </c>
      <c r="G5">
        <v>379</v>
      </c>
      <c r="H5">
        <v>23</v>
      </c>
      <c r="I5">
        <v>86</v>
      </c>
      <c r="J5">
        <v>47</v>
      </c>
      <c r="L5">
        <v>3</v>
      </c>
      <c r="M5">
        <f>SUM(progress_assignment_fd68e454_ba45_4b85_8205_f3bf777ded24_12_juli[[#This Row],[OPEN]:[REJECTED BY Admin Kabupaten]])</f>
        <v>114106</v>
      </c>
      <c r="N5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47434</v>
      </c>
      <c r="O5" s="2">
        <f>progress_assignment_fd68e454_ba45_4b85_8205_f3bf777ded24_12_juli[[#This Row],[Not Draft + Open]]/progress_assignment_fd68e454_ba45_4b85_8205_f3bf777ded24_12_juli[[#This Row],[Total]]*100</f>
        <v>41.570119012146598</v>
      </c>
      <c r="P5" s="4">
        <f>progress_assignment_fd68e454_ba45_4b85_8205_f3bf777ded24_12_juli[[#This Row],[Persentase]]-progress_assignment_fd68e454_ba45_4b85_8205_f3bf777ded24_11_Juli[[#This Row],[Persentase]]</f>
        <v>1.4774914295155881</v>
      </c>
      <c r="Q5">
        <f>RANK(progress_assignment_fd68e454_ba45_4b85_8205_f3bf777ded24_12_juli[[#This Row],[Persentase]],progress_assignment_fd68e454_ba45_4b85_8205_f3bf777ded24_12_juli[Persentase])</f>
        <v>9</v>
      </c>
    </row>
    <row r="6" spans="1:17" x14ac:dyDescent="0.3">
      <c r="A6">
        <v>7205</v>
      </c>
      <c r="B6">
        <v>66684</v>
      </c>
      <c r="C6">
        <v>39298</v>
      </c>
      <c r="D6">
        <v>8353</v>
      </c>
      <c r="E6">
        <v>2325</v>
      </c>
      <c r="F6">
        <v>866</v>
      </c>
      <c r="G6">
        <v>574</v>
      </c>
      <c r="H6">
        <v>556</v>
      </c>
      <c r="I6">
        <v>89</v>
      </c>
      <c r="J6">
        <v>5</v>
      </c>
      <c r="L6">
        <v>64</v>
      </c>
      <c r="M6">
        <f>SUM(progress_assignment_fd68e454_ba45_4b85_8205_f3bf777ded24_12_juli[[#This Row],[OPEN]:[REJECTED BY Admin Kabupaten]])</f>
        <v>118814</v>
      </c>
      <c r="N6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49805</v>
      </c>
      <c r="O6" s="2">
        <f>progress_assignment_fd68e454_ba45_4b85_8205_f3bf777ded24_12_juli[[#This Row],[Not Draft + Open]]/progress_assignment_fd68e454_ba45_4b85_8205_f3bf777ded24_12_juli[[#This Row],[Total]]*100</f>
        <v>41.918460787449291</v>
      </c>
      <c r="P6" s="4">
        <f>progress_assignment_fd68e454_ba45_4b85_8205_f3bf777ded24_12_juli[[#This Row],[Persentase]]-progress_assignment_fd68e454_ba45_4b85_8205_f3bf777ded24_11_Juli[[#This Row],[Persentase]]</f>
        <v>1.8289272419885947</v>
      </c>
      <c r="Q6">
        <f>RANK(progress_assignment_fd68e454_ba45_4b85_8205_f3bf777ded24_12_juli[[#This Row],[Persentase]],progress_assignment_fd68e454_ba45_4b85_8205_f3bf777ded24_12_juli[Persentase])</f>
        <v>6</v>
      </c>
    </row>
    <row r="7" spans="1:17" x14ac:dyDescent="0.3">
      <c r="A7">
        <v>7206</v>
      </c>
      <c r="B7">
        <v>48429</v>
      </c>
      <c r="C7">
        <v>24326</v>
      </c>
      <c r="D7">
        <v>11285</v>
      </c>
      <c r="E7">
        <v>2357</v>
      </c>
      <c r="F7">
        <v>966</v>
      </c>
      <c r="G7">
        <v>449</v>
      </c>
      <c r="I7">
        <v>64</v>
      </c>
      <c r="K7">
        <v>2</v>
      </c>
      <c r="M7">
        <f>SUM(progress_assignment_fd68e454_ba45_4b85_8205_f3bf777ded24_12_juli[[#This Row],[OPEN]:[REJECTED BY Admin Kabupaten]])</f>
        <v>87878</v>
      </c>
      <c r="N7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37092</v>
      </c>
      <c r="O7" s="2">
        <f>progress_assignment_fd68e454_ba45_4b85_8205_f3bf777ded24_12_juli[[#This Row],[Not Draft + Open]]/progress_assignment_fd68e454_ba45_4b85_8205_f3bf777ded24_12_juli[[#This Row],[Total]]*100</f>
        <v>42.208516352215568</v>
      </c>
      <c r="P7" s="4">
        <f>progress_assignment_fd68e454_ba45_4b85_8205_f3bf777ded24_12_juli[[#This Row],[Persentase]]-progress_assignment_fd68e454_ba45_4b85_8205_f3bf777ded24_11_Juli[[#This Row],[Persentase]]</f>
        <v>1.9376241022985781</v>
      </c>
      <c r="Q7">
        <f>RANK(progress_assignment_fd68e454_ba45_4b85_8205_f3bf777ded24_12_juli[[#This Row],[Persentase]],progress_assignment_fd68e454_ba45_4b85_8205_f3bf777ded24_12_juli[Persentase])</f>
        <v>5</v>
      </c>
    </row>
    <row r="8" spans="1:17" x14ac:dyDescent="0.3">
      <c r="A8">
        <v>7207</v>
      </c>
      <c r="B8">
        <v>34525</v>
      </c>
      <c r="C8">
        <v>11984</v>
      </c>
      <c r="D8">
        <v>12007</v>
      </c>
      <c r="E8">
        <v>3030</v>
      </c>
      <c r="F8">
        <v>1760</v>
      </c>
      <c r="G8">
        <v>111</v>
      </c>
      <c r="H8">
        <v>1</v>
      </c>
      <c r="I8">
        <v>52</v>
      </c>
      <c r="J8">
        <v>46</v>
      </c>
      <c r="L8">
        <v>4</v>
      </c>
      <c r="M8">
        <f>SUM(progress_assignment_fd68e454_ba45_4b85_8205_f3bf777ded24_12_juli[[#This Row],[OPEN]:[REJECTED BY Admin Kabupaten]])</f>
        <v>63520</v>
      </c>
      <c r="N8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25965</v>
      </c>
      <c r="O8" s="2">
        <f>progress_assignment_fd68e454_ba45_4b85_8205_f3bf777ded24_12_juli[[#This Row],[Not Draft + Open]]/progress_assignment_fd68e454_ba45_4b85_8205_f3bf777ded24_12_juli[[#This Row],[Total]]*100</f>
        <v>40.876889168765743</v>
      </c>
      <c r="P8" s="4">
        <f>progress_assignment_fd68e454_ba45_4b85_8205_f3bf777ded24_12_juli[[#This Row],[Persentase]]-progress_assignment_fd68e454_ba45_4b85_8205_f3bf777ded24_11_Juli[[#This Row],[Persentase]]</f>
        <v>2.1495071619328954</v>
      </c>
      <c r="Q8">
        <f>RANK(progress_assignment_fd68e454_ba45_4b85_8205_f3bf777ded24_12_juli[[#This Row],[Persentase]],progress_assignment_fd68e454_ba45_4b85_8205_f3bf777ded24_12_juli[Persentase])</f>
        <v>10</v>
      </c>
    </row>
    <row r="9" spans="1:17" x14ac:dyDescent="0.3">
      <c r="A9">
        <v>7208</v>
      </c>
      <c r="B9">
        <v>100263</v>
      </c>
      <c r="C9">
        <v>42284</v>
      </c>
      <c r="D9">
        <v>33803</v>
      </c>
      <c r="E9">
        <v>3677</v>
      </c>
      <c r="F9">
        <v>3749</v>
      </c>
      <c r="G9">
        <v>49</v>
      </c>
      <c r="H9">
        <v>1177</v>
      </c>
      <c r="I9">
        <v>89</v>
      </c>
      <c r="K9">
        <v>8</v>
      </c>
      <c r="L9">
        <v>11</v>
      </c>
      <c r="M9">
        <f>SUM(progress_assignment_fd68e454_ba45_4b85_8205_f3bf777ded24_12_juli[[#This Row],[OPEN]:[REJECTED BY Admin Kabupaten]])</f>
        <v>185110</v>
      </c>
      <c r="N9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81170</v>
      </c>
      <c r="O9" s="2">
        <f>progress_assignment_fd68e454_ba45_4b85_8205_f3bf777ded24_12_juli[[#This Row],[Not Draft + Open]]/progress_assignment_fd68e454_ba45_4b85_8205_f3bf777ded24_12_juli[[#This Row],[Total]]*100</f>
        <v>43.849602938793147</v>
      </c>
      <c r="P9" s="4">
        <f>progress_assignment_fd68e454_ba45_4b85_8205_f3bf777ded24_12_juli[[#This Row],[Persentase]]-progress_assignment_fd68e454_ba45_4b85_8205_f3bf777ded24_11_Juli[[#This Row],[Persentase]]</f>
        <v>1.5636346600450892</v>
      </c>
      <c r="Q9">
        <f>RANK(progress_assignment_fd68e454_ba45_4b85_8205_f3bf777ded24_12_juli[[#This Row],[Persentase]],progress_assignment_fd68e454_ba45_4b85_8205_f3bf777ded24_12_juli[Persentase])</f>
        <v>3</v>
      </c>
    </row>
    <row r="10" spans="1:17" x14ac:dyDescent="0.3">
      <c r="A10">
        <v>7209</v>
      </c>
      <c r="B10">
        <v>35087</v>
      </c>
      <c r="C10">
        <v>15634</v>
      </c>
      <c r="D10">
        <v>9809</v>
      </c>
      <c r="E10">
        <v>1280</v>
      </c>
      <c r="F10">
        <v>2383</v>
      </c>
      <c r="I10">
        <v>124</v>
      </c>
      <c r="J10">
        <v>8</v>
      </c>
      <c r="K10">
        <v>4</v>
      </c>
      <c r="M10">
        <f>SUM(progress_assignment_fd68e454_ba45_4b85_8205_f3bf777ded24_12_juli[[#This Row],[OPEN]:[REJECTED BY Admin Kabupaten]])</f>
        <v>64329</v>
      </c>
      <c r="N10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27962</v>
      </c>
      <c r="O10" s="2">
        <f>progress_assignment_fd68e454_ba45_4b85_8205_f3bf777ded24_12_juli[[#This Row],[Not Draft + Open]]/progress_assignment_fd68e454_ba45_4b85_8205_f3bf777ded24_12_juli[[#This Row],[Total]]*100</f>
        <v>43.467176545570432</v>
      </c>
      <c r="P10" s="4">
        <f>progress_assignment_fd68e454_ba45_4b85_8205_f3bf777ded24_12_juli[[#This Row],[Persentase]]-progress_assignment_fd68e454_ba45_4b85_8205_f3bf777ded24_11_Juli[[#This Row],[Persentase]]</f>
        <v>1.9910477549722074</v>
      </c>
      <c r="Q10">
        <f>RANK(progress_assignment_fd68e454_ba45_4b85_8205_f3bf777ded24_12_juli[[#This Row],[Persentase]],progress_assignment_fd68e454_ba45_4b85_8205_f3bf777ded24_12_juli[Persentase])</f>
        <v>4</v>
      </c>
    </row>
    <row r="11" spans="1:17" x14ac:dyDescent="0.3">
      <c r="A11">
        <v>7210</v>
      </c>
      <c r="B11">
        <v>65527</v>
      </c>
      <c r="C11">
        <v>30982</v>
      </c>
      <c r="D11">
        <v>14835</v>
      </c>
      <c r="E11">
        <v>1963</v>
      </c>
      <c r="F11">
        <v>1811</v>
      </c>
      <c r="G11">
        <v>370</v>
      </c>
      <c r="H11">
        <v>121</v>
      </c>
      <c r="I11">
        <v>91</v>
      </c>
      <c r="J11">
        <v>8</v>
      </c>
      <c r="L11">
        <v>5</v>
      </c>
      <c r="M11">
        <f>SUM(progress_assignment_fd68e454_ba45_4b85_8205_f3bf777ded24_12_juli[[#This Row],[OPEN]:[REJECTED BY Admin Kabupaten]])</f>
        <v>115713</v>
      </c>
      <c r="N11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48223</v>
      </c>
      <c r="O11" s="2">
        <f>progress_assignment_fd68e454_ba45_4b85_8205_f3bf777ded24_12_juli[[#This Row],[Not Draft + Open]]/progress_assignment_fd68e454_ba45_4b85_8205_f3bf777ded24_12_juli[[#This Row],[Total]]*100</f>
        <v>41.67466058264845</v>
      </c>
      <c r="P11" s="4">
        <f>progress_assignment_fd68e454_ba45_4b85_8205_f3bf777ded24_12_juli[[#This Row],[Persentase]]-progress_assignment_fd68e454_ba45_4b85_8205_f3bf777ded24_11_Juli[[#This Row],[Persentase]]</f>
        <v>1.5667999344441057</v>
      </c>
      <c r="Q11">
        <f>RANK(progress_assignment_fd68e454_ba45_4b85_8205_f3bf777ded24_12_juli[[#This Row],[Persentase]],progress_assignment_fd68e454_ba45_4b85_8205_f3bf777ded24_12_juli[Persentase])</f>
        <v>8</v>
      </c>
    </row>
    <row r="12" spans="1:17" x14ac:dyDescent="0.3">
      <c r="A12">
        <v>7211</v>
      </c>
      <c r="B12">
        <v>16238</v>
      </c>
      <c r="C12">
        <v>12798</v>
      </c>
      <c r="D12">
        <v>964</v>
      </c>
      <c r="E12">
        <v>187</v>
      </c>
      <c r="F12">
        <v>101</v>
      </c>
      <c r="G12">
        <v>8</v>
      </c>
      <c r="I12">
        <v>13</v>
      </c>
      <c r="J12">
        <v>24</v>
      </c>
      <c r="K12">
        <v>1</v>
      </c>
      <c r="M12">
        <f>SUM(progress_assignment_fd68e454_ba45_4b85_8205_f3bf777ded24_12_juli[[#This Row],[OPEN]:[REJECTED BY Admin Kabupaten]])</f>
        <v>30334</v>
      </c>
      <c r="N12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13909</v>
      </c>
      <c r="O12" s="2">
        <f>progress_assignment_fd68e454_ba45_4b85_8205_f3bf777ded24_12_juli[[#This Row],[Not Draft + Open]]/progress_assignment_fd68e454_ba45_4b85_8205_f3bf777ded24_12_juli[[#This Row],[Total]]*100</f>
        <v>45.852838399156063</v>
      </c>
      <c r="P12" s="4">
        <f>progress_assignment_fd68e454_ba45_4b85_8205_f3bf777ded24_12_juli[[#This Row],[Persentase]]-progress_assignment_fd68e454_ba45_4b85_8205_f3bf777ded24_11_Juli[[#This Row],[Persentase]]</f>
        <v>1.0674811026280793</v>
      </c>
      <c r="Q12">
        <f>RANK(progress_assignment_fd68e454_ba45_4b85_8205_f3bf777ded24_12_juli[[#This Row],[Persentase]],progress_assignment_fd68e454_ba45_4b85_8205_f3bf777ded24_12_juli[Persentase])</f>
        <v>2</v>
      </c>
    </row>
    <row r="13" spans="1:17" x14ac:dyDescent="0.3">
      <c r="A13">
        <v>7212</v>
      </c>
      <c r="B13">
        <v>29687</v>
      </c>
      <c r="C13">
        <v>8747</v>
      </c>
      <c r="D13">
        <v>6240</v>
      </c>
      <c r="E13">
        <v>841</v>
      </c>
      <c r="F13">
        <v>533</v>
      </c>
      <c r="G13">
        <v>17</v>
      </c>
      <c r="H13">
        <v>35</v>
      </c>
      <c r="I13">
        <v>60</v>
      </c>
      <c r="J13">
        <v>1</v>
      </c>
      <c r="M13">
        <f>SUM(progress_assignment_fd68e454_ba45_4b85_8205_f3bf777ded24_12_juli[[#This Row],[OPEN]:[REJECTED BY Admin Kabupaten]])</f>
        <v>46161</v>
      </c>
      <c r="N13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15633</v>
      </c>
      <c r="O13" s="2">
        <f>progress_assignment_fd68e454_ba45_4b85_8205_f3bf777ded24_12_juli[[#This Row],[Not Draft + Open]]/progress_assignment_fd68e454_ba45_4b85_8205_f3bf777ded24_12_juli[[#This Row],[Total]]*100</f>
        <v>33.866250731136674</v>
      </c>
      <c r="P13" s="4">
        <f>progress_assignment_fd68e454_ba45_4b85_8205_f3bf777ded24_12_juli[[#This Row],[Persentase]]-progress_assignment_fd68e454_ba45_4b85_8205_f3bf777ded24_11_Juli[[#This Row],[Persentase]]</f>
        <v>1.7613421024671538</v>
      </c>
      <c r="Q13">
        <f>RANK(progress_assignment_fd68e454_ba45_4b85_8205_f3bf777ded24_12_juli[[#This Row],[Persentase]],progress_assignment_fd68e454_ba45_4b85_8205_f3bf777ded24_12_juli[Persentase])</f>
        <v>11</v>
      </c>
    </row>
    <row r="14" spans="1:17" x14ac:dyDescent="0.3">
      <c r="A14">
        <v>7271</v>
      </c>
      <c r="B14">
        <v>125004</v>
      </c>
      <c r="C14">
        <v>25463</v>
      </c>
      <c r="D14">
        <v>24941</v>
      </c>
      <c r="E14">
        <v>8514</v>
      </c>
      <c r="F14">
        <v>1116</v>
      </c>
      <c r="G14">
        <v>936</v>
      </c>
      <c r="H14">
        <v>728</v>
      </c>
      <c r="I14">
        <v>87</v>
      </c>
      <c r="J14">
        <v>34</v>
      </c>
      <c r="K14">
        <v>7</v>
      </c>
      <c r="M14">
        <f>SUM(progress_assignment_fd68e454_ba45_4b85_8205_f3bf777ded24_12_juli[[#This Row],[OPEN]:[REJECTED BY Admin Kabupaten]])</f>
        <v>186830</v>
      </c>
      <c r="N14">
        <f>progress_assignment_fd68e454_ba45_4b85_8205_f3bf777ded24_12_juli[[#This Row],[REJECTED BY Admin Kabupaten]]+progress_assignment_fd68e454_ba45_4b85_8205_f3bf777ded24_12_juli[[#This Row],[EDITED BY Pengawas]]+progress_assignment_fd68e454_ba45_4b85_8205_f3bf777ded24_12_juli[[#This Row],[SUBMITTED RESPONDENT]]+progress_assignment_fd68e454_ba45_4b85_8205_f3bf777ded24_12_juli[[#This Row],[REVOKED BY Pengawas]]+progress_assignment_fd68e454_ba45_4b85_8205_f3bf777ded24_12_juli[[#This Row],[COMPLETED BY Admin Kabupaten]]+progress_assignment_fd68e454_ba45_4b85_8205_f3bf777ded24_12_juli[[#This Row],[EDITED BY Admin Kabupaten]]+progress_assignment_fd68e454_ba45_4b85_8205_f3bf777ded24_12_juli[[#This Row],[REJECTED BY Pengawas]]+progress_assignment_fd68e454_ba45_4b85_8205_f3bf777ded24_12_juli[[#This Row],[SUBMITTED BY Pencacah]]+progress_assignment_fd68e454_ba45_4b85_8205_f3bf777ded24_12_juli[[#This Row],[APPROVED BY Pengawas]]</f>
        <v>53312</v>
      </c>
      <c r="O14" s="2">
        <f>progress_assignment_fd68e454_ba45_4b85_8205_f3bf777ded24_12_juli[[#This Row],[Not Draft + Open]]/progress_assignment_fd68e454_ba45_4b85_8205_f3bf777ded24_12_juli[[#This Row],[Total]]*100</f>
        <v>28.535031847133759</v>
      </c>
      <c r="P14" s="4">
        <f>progress_assignment_fd68e454_ba45_4b85_8205_f3bf777ded24_12_juli[[#This Row],[Persentase]]-progress_assignment_fd68e454_ba45_4b85_8205_f3bf777ded24_11_Juli[[#This Row],[Persentase]]</f>
        <v>2.0134963926519376</v>
      </c>
      <c r="Q14">
        <f>RANK(progress_assignment_fd68e454_ba45_4b85_8205_f3bf777ded24_12_juli[[#This Row],[Persentase]],progress_assignment_fd68e454_ba45_4b85_8205_f3bf777ded24_12_juli[Persentase])</f>
        <v>13</v>
      </c>
    </row>
    <row r="16" spans="1:17" x14ac:dyDescent="0.3">
      <c r="A16" s="5">
        <v>7200</v>
      </c>
      <c r="B16" s="5">
        <f>SUM(progress_assignment_fd68e454_ba45_4b85_8205_f3bf777ded24_12_juli[OPEN])</f>
        <v>733828</v>
      </c>
      <c r="C16" s="5">
        <f>SUM(progress_assignment_fd68e454_ba45_4b85_8205_f3bf777ded24_12_juli[APPROVED BY Pengawas])</f>
        <v>276681</v>
      </c>
      <c r="D16" s="5">
        <f>SUM(progress_assignment_fd68e454_ba45_4b85_8205_f3bf777ded24_12_juli[SUBMITTED BY Pencacah])</f>
        <v>203243</v>
      </c>
      <c r="E16" s="5">
        <f>SUM(progress_assignment_fd68e454_ba45_4b85_8205_f3bf777ded24_12_juli[DRAFT])</f>
        <v>36315</v>
      </c>
      <c r="F16" s="5">
        <f>SUM(progress_assignment_fd68e454_ba45_4b85_8205_f3bf777ded24_12_juli[REJECTED BY Pengawas])</f>
        <v>19180</v>
      </c>
      <c r="G16" s="5">
        <f>SUM(progress_assignment_fd68e454_ba45_4b85_8205_f3bf777ded24_12_juli[EDITED BY Admin Kabupaten])</f>
        <v>3106</v>
      </c>
      <c r="H16" s="5">
        <f>SUM(progress_assignment_fd68e454_ba45_4b85_8205_f3bf777ded24_12_juli[COMPLETED BY Admin Kabupaten])</f>
        <v>2727</v>
      </c>
      <c r="I16" s="5">
        <f>SUM(progress_assignment_fd68e454_ba45_4b85_8205_f3bf777ded24_12_juli[REVOKED BY Pengawas])</f>
        <v>881</v>
      </c>
      <c r="J16" s="5">
        <f>SUM(progress_assignment_fd68e454_ba45_4b85_8205_f3bf777ded24_12_juli[SUBMITTED RESPONDENT])</f>
        <v>271</v>
      </c>
      <c r="K16" s="5">
        <f>SUM(progress_assignment_fd68e454_ba45_4b85_8205_f3bf777ded24_12_juli[EDITED BY Pengawas])</f>
        <v>24</v>
      </c>
      <c r="L16" s="5">
        <f>SUM(progress_assignment_fd68e454_ba45_4b85_8205_f3bf777ded24_12_juli[REJECTED BY Admin Kabupaten])</f>
        <v>88</v>
      </c>
      <c r="M16" s="5">
        <f>SUM(progress_assignment_fd68e454_ba45_4b85_8205_f3bf777ded24_12_juli[Total])</f>
        <v>1276344</v>
      </c>
      <c r="N16" s="5">
        <f>SUM(progress_assignment_fd68e454_ba45_4b85_8205_f3bf777ded24_12_juli[Not Draft + Open])</f>
        <v>506201</v>
      </c>
      <c r="O16" s="6">
        <f>N16/M16*100</f>
        <v>39.660232664548118</v>
      </c>
      <c r="P16" s="7">
        <f>O16-'11 Juli'!O16</f>
        <v>1.7207317620288549</v>
      </c>
      <c r="Q16" s="5"/>
    </row>
  </sheetData>
  <conditionalFormatting sqref="P2:P14">
    <cfRule type="cellIs" dxfId="5" priority="1" operator="greaterThanOrEqual">
      <formula>2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B4E9-2FCE-43A2-B57D-78E4A3841BE6}">
  <dimension ref="A1:R16"/>
  <sheetViews>
    <sheetView workbookViewId="0">
      <selection activeCell="N1" sqref="N1:R1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27.88671875" hidden="1" customWidth="1"/>
    <col min="8" max="8" width="32.44140625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s="1" t="s">
        <v>14</v>
      </c>
      <c r="Q1" s="1" t="s">
        <v>16</v>
      </c>
      <c r="R1" t="s">
        <v>17</v>
      </c>
    </row>
    <row r="2" spans="1:18" x14ac:dyDescent="0.3">
      <c r="A2">
        <v>7201</v>
      </c>
      <c r="B2">
        <v>24314</v>
      </c>
      <c r="C2">
        <v>13047</v>
      </c>
      <c r="D2">
        <v>9110</v>
      </c>
      <c r="E2">
        <v>1771</v>
      </c>
      <c r="F2">
        <v>1012</v>
      </c>
      <c r="G2">
        <v>144</v>
      </c>
      <c r="H2">
        <v>4</v>
      </c>
      <c r="I2">
        <v>40</v>
      </c>
      <c r="J2">
        <v>94</v>
      </c>
      <c r="M2">
        <v>1</v>
      </c>
      <c r="N2">
        <f>SUM(progress_assignment_fd68e454_ba45_4b85_8205_f3bf777ded24_13_juli[[#This Row],[OPEN]:[EDITED BY Pengawas]])</f>
        <v>49537</v>
      </c>
      <c r="O2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23452</v>
      </c>
      <c r="P2" s="2">
        <f>progress_assignment_fd68e454_ba45_4b85_8205_f3bf777ded24_13_juli[[#This Row],[Not Draft + Open]]/progress_assignment_fd68e454_ba45_4b85_8205_f3bf777ded24_13_juli[[#This Row],[Total]]*100</f>
        <v>47.342390536366757</v>
      </c>
      <c r="Q2" s="4">
        <f>progress_assignment_fd68e454_ba45_4b85_8205_f3bf777ded24_13_juli[[#This Row],[Persentase]]-progress_assignment_fd68e454_ba45_4b85_8205_f3bf777ded24_12_juli[[#This Row],[Persentase]]</f>
        <v>1.4603711361925988</v>
      </c>
      <c r="R2">
        <f>RANK(progress_assignment_fd68e454_ba45_4b85_8205_f3bf777ded24_13_juli[[#This Row],[Persentase]],progress_assignment_fd68e454_ba45_4b85_8205_f3bf777ded24_13_juli[Persentase])</f>
        <v>2</v>
      </c>
    </row>
    <row r="3" spans="1:18" x14ac:dyDescent="0.3">
      <c r="A3">
        <v>7202</v>
      </c>
      <c r="B3">
        <v>84459</v>
      </c>
      <c r="C3">
        <v>22634</v>
      </c>
      <c r="D3">
        <v>42208</v>
      </c>
      <c r="E3">
        <v>4448</v>
      </c>
      <c r="F3">
        <v>2925</v>
      </c>
      <c r="G3">
        <v>36</v>
      </c>
      <c r="H3">
        <v>13</v>
      </c>
      <c r="I3">
        <v>70</v>
      </c>
      <c r="J3">
        <v>4</v>
      </c>
      <c r="M3">
        <v>1</v>
      </c>
      <c r="N3">
        <f>SUM(progress_assignment_fd68e454_ba45_4b85_8205_f3bf777ded24_13_juli[[#This Row],[OPEN]:[EDITED BY Pengawas]])</f>
        <v>156798</v>
      </c>
      <c r="O3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67891</v>
      </c>
      <c r="P3" s="2">
        <f>progress_assignment_fd68e454_ba45_4b85_8205_f3bf777ded24_13_juli[[#This Row],[Not Draft + Open]]/progress_assignment_fd68e454_ba45_4b85_8205_f3bf777ded24_13_juli[[#This Row],[Total]]*100</f>
        <v>43.298383907958012</v>
      </c>
      <c r="Q3" s="4">
        <f>progress_assignment_fd68e454_ba45_4b85_8205_f3bf777ded24_13_juli[[#This Row],[Persentase]]-progress_assignment_fd68e454_ba45_4b85_8205_f3bf777ded24_12_juli[[#This Row],[Persentase]]</f>
        <v>1.6205629361565244</v>
      </c>
      <c r="R3">
        <f>RANK(progress_assignment_fd68e454_ba45_4b85_8205_f3bf777ded24_13_juli[[#This Row],[Persentase]],progress_assignment_fd68e454_ba45_4b85_8205_f3bf777ded24_13_juli[Persentase])</f>
        <v>7</v>
      </c>
    </row>
    <row r="4" spans="1:18" x14ac:dyDescent="0.3">
      <c r="A4">
        <v>7203</v>
      </c>
      <c r="B4">
        <v>37004</v>
      </c>
      <c r="C4">
        <v>8027</v>
      </c>
      <c r="D4">
        <v>10834</v>
      </c>
      <c r="E4">
        <v>2472</v>
      </c>
      <c r="F4">
        <v>247</v>
      </c>
      <c r="G4">
        <v>32</v>
      </c>
      <c r="H4">
        <v>69</v>
      </c>
      <c r="I4">
        <v>22</v>
      </c>
      <c r="L4">
        <v>1</v>
      </c>
      <c r="N4">
        <f>SUM(progress_assignment_fd68e454_ba45_4b85_8205_f3bf777ded24_13_juli[[#This Row],[OPEN]:[EDITED BY Pengawas]])</f>
        <v>58708</v>
      </c>
      <c r="O4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19232</v>
      </c>
      <c r="P4" s="2">
        <f>progress_assignment_fd68e454_ba45_4b85_8205_f3bf777ded24_13_juli[[#This Row],[Not Draft + Open]]/progress_assignment_fd68e454_ba45_4b85_8205_f3bf777ded24_13_juli[[#This Row],[Total]]*100</f>
        <v>32.758738161749676</v>
      </c>
      <c r="Q4" s="4">
        <f>progress_assignment_fd68e454_ba45_4b85_8205_f3bf777ded24_13_juli[[#This Row],[Persentase]]-progress_assignment_fd68e454_ba45_4b85_8205_f3bf777ded24_12_juli[[#This Row],[Persentase]]</f>
        <v>1.8031155852740213</v>
      </c>
      <c r="R4">
        <f>RANK(progress_assignment_fd68e454_ba45_4b85_8205_f3bf777ded24_13_juli[[#This Row],[Persentase]],progress_assignment_fd68e454_ba45_4b85_8205_f3bf777ded24_13_juli[Persentase])</f>
        <v>12</v>
      </c>
    </row>
    <row r="5" spans="1:18" x14ac:dyDescent="0.3">
      <c r="A5">
        <v>7204</v>
      </c>
      <c r="B5">
        <v>61654</v>
      </c>
      <c r="C5">
        <v>28616</v>
      </c>
      <c r="D5">
        <v>17997</v>
      </c>
      <c r="E5">
        <v>3633</v>
      </c>
      <c r="F5">
        <v>1918</v>
      </c>
      <c r="G5">
        <v>379</v>
      </c>
      <c r="H5">
        <v>23</v>
      </c>
      <c r="I5">
        <v>84</v>
      </c>
      <c r="J5">
        <v>47</v>
      </c>
      <c r="L5">
        <v>3</v>
      </c>
      <c r="N5">
        <f>SUM(progress_assignment_fd68e454_ba45_4b85_8205_f3bf777ded24_13_juli[[#This Row],[OPEN]:[EDITED BY Pengawas]])</f>
        <v>114354</v>
      </c>
      <c r="O5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49067</v>
      </c>
      <c r="P5" s="2">
        <f>progress_assignment_fd68e454_ba45_4b85_8205_f3bf777ded24_13_juli[[#This Row],[Not Draft + Open]]/progress_assignment_fd68e454_ba45_4b85_8205_f3bf777ded24_13_juli[[#This Row],[Total]]*100</f>
        <v>42.907987477482209</v>
      </c>
      <c r="Q5" s="4">
        <f>progress_assignment_fd68e454_ba45_4b85_8205_f3bf777ded24_13_juli[[#This Row],[Persentase]]-progress_assignment_fd68e454_ba45_4b85_8205_f3bf777ded24_12_juli[[#This Row],[Persentase]]</f>
        <v>1.3378684653356103</v>
      </c>
      <c r="R5">
        <f>RANK(progress_assignment_fd68e454_ba45_4b85_8205_f3bf777ded24_13_juli[[#This Row],[Persentase]],progress_assignment_fd68e454_ba45_4b85_8205_f3bf777ded24_13_juli[Persentase])</f>
        <v>9</v>
      </c>
    </row>
    <row r="6" spans="1:18" x14ac:dyDescent="0.3">
      <c r="A6">
        <v>7205</v>
      </c>
      <c r="B6">
        <v>64727</v>
      </c>
      <c r="C6">
        <v>42153</v>
      </c>
      <c r="D6">
        <v>7968</v>
      </c>
      <c r="E6">
        <v>2332</v>
      </c>
      <c r="F6">
        <v>745</v>
      </c>
      <c r="G6">
        <v>574</v>
      </c>
      <c r="H6">
        <v>604</v>
      </c>
      <c r="I6">
        <v>184</v>
      </c>
      <c r="J6">
        <v>5</v>
      </c>
      <c r="L6">
        <v>39</v>
      </c>
      <c r="N6">
        <f>SUM(progress_assignment_fd68e454_ba45_4b85_8205_f3bf777ded24_13_juli[[#This Row],[OPEN]:[EDITED BY Pengawas]])</f>
        <v>119331</v>
      </c>
      <c r="O6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52272</v>
      </c>
      <c r="P6" s="2">
        <f>progress_assignment_fd68e454_ba45_4b85_8205_f3bf777ded24_13_juli[[#This Row],[Not Draft + Open]]/progress_assignment_fd68e454_ba45_4b85_8205_f3bf777ded24_13_juli[[#This Row],[Total]]*100</f>
        <v>43.804208462176639</v>
      </c>
      <c r="Q6" s="4">
        <f>progress_assignment_fd68e454_ba45_4b85_8205_f3bf777ded24_13_juli[[#This Row],[Persentase]]-progress_assignment_fd68e454_ba45_4b85_8205_f3bf777ded24_12_juli[[#This Row],[Persentase]]</f>
        <v>1.8857476747273481</v>
      </c>
      <c r="R6">
        <f>RANK(progress_assignment_fd68e454_ba45_4b85_8205_f3bf777ded24_13_juli[[#This Row],[Persentase]],progress_assignment_fd68e454_ba45_4b85_8205_f3bf777ded24_13_juli[Persentase])</f>
        <v>5</v>
      </c>
    </row>
    <row r="7" spans="1:18" x14ac:dyDescent="0.3">
      <c r="A7">
        <v>7206</v>
      </c>
      <c r="B7">
        <v>47302</v>
      </c>
      <c r="C7">
        <v>26790</v>
      </c>
      <c r="D7">
        <v>10473</v>
      </c>
      <c r="E7">
        <v>2402</v>
      </c>
      <c r="F7">
        <v>865</v>
      </c>
      <c r="G7">
        <v>449</v>
      </c>
      <c r="I7">
        <v>55</v>
      </c>
      <c r="M7">
        <v>2</v>
      </c>
      <c r="N7">
        <f>SUM(progress_assignment_fd68e454_ba45_4b85_8205_f3bf777ded24_13_juli[[#This Row],[OPEN]:[EDITED BY Pengawas]])</f>
        <v>88338</v>
      </c>
      <c r="O7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38634</v>
      </c>
      <c r="P7" s="2">
        <f>progress_assignment_fd68e454_ba45_4b85_8205_f3bf777ded24_13_juli[[#This Row],[Not Draft + Open]]/progress_assignment_fd68e454_ba45_4b85_8205_f3bf777ded24_13_juli[[#This Row],[Total]]*100</f>
        <v>43.734293282619028</v>
      </c>
      <c r="Q7" s="4">
        <f>progress_assignment_fd68e454_ba45_4b85_8205_f3bf777ded24_13_juli[[#This Row],[Persentase]]-progress_assignment_fd68e454_ba45_4b85_8205_f3bf777ded24_12_juli[[#This Row],[Persentase]]</f>
        <v>1.5257769304034596</v>
      </c>
      <c r="R7">
        <f>RANK(progress_assignment_fd68e454_ba45_4b85_8205_f3bf777ded24_13_juli[[#This Row],[Persentase]],progress_assignment_fd68e454_ba45_4b85_8205_f3bf777ded24_13_juli[Persentase])</f>
        <v>6</v>
      </c>
    </row>
    <row r="8" spans="1:18" x14ac:dyDescent="0.3">
      <c r="A8">
        <v>7207</v>
      </c>
      <c r="B8">
        <v>33755</v>
      </c>
      <c r="C8">
        <v>13869</v>
      </c>
      <c r="D8">
        <v>11138</v>
      </c>
      <c r="E8">
        <v>2895</v>
      </c>
      <c r="F8">
        <v>1860</v>
      </c>
      <c r="G8">
        <v>111</v>
      </c>
      <c r="H8">
        <v>1</v>
      </c>
      <c r="I8">
        <v>42</v>
      </c>
      <c r="J8">
        <v>46</v>
      </c>
      <c r="L8">
        <v>4</v>
      </c>
      <c r="N8">
        <f>SUM(progress_assignment_fd68e454_ba45_4b85_8205_f3bf777ded24_13_juli[[#This Row],[OPEN]:[EDITED BY Pengawas]])</f>
        <v>63721</v>
      </c>
      <c r="O8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27071</v>
      </c>
      <c r="P8" s="2">
        <f>progress_assignment_fd68e454_ba45_4b85_8205_f3bf777ded24_13_juli[[#This Row],[Not Draft + Open]]/progress_assignment_fd68e454_ba45_4b85_8205_f3bf777ded24_13_juli[[#This Row],[Total]]*100</f>
        <v>42.483639616452976</v>
      </c>
      <c r="Q8" s="4">
        <f>progress_assignment_fd68e454_ba45_4b85_8205_f3bf777ded24_13_juli[[#This Row],[Persentase]]-progress_assignment_fd68e454_ba45_4b85_8205_f3bf777ded24_12_juli[[#This Row],[Persentase]]</f>
        <v>1.606750447687233</v>
      </c>
      <c r="R8">
        <f>RANK(progress_assignment_fd68e454_ba45_4b85_8205_f3bf777ded24_13_juli[[#This Row],[Persentase]],progress_assignment_fd68e454_ba45_4b85_8205_f3bf777ded24_13_juli[Persentase])</f>
        <v>10</v>
      </c>
    </row>
    <row r="9" spans="1:18" x14ac:dyDescent="0.3">
      <c r="A9">
        <v>7208</v>
      </c>
      <c r="B9">
        <v>97761</v>
      </c>
      <c r="C9">
        <v>48491</v>
      </c>
      <c r="D9">
        <v>30130</v>
      </c>
      <c r="E9">
        <v>3921</v>
      </c>
      <c r="F9">
        <v>4047</v>
      </c>
      <c r="G9">
        <v>49</v>
      </c>
      <c r="H9">
        <v>1177</v>
      </c>
      <c r="I9">
        <v>96</v>
      </c>
      <c r="L9">
        <v>11</v>
      </c>
      <c r="M9">
        <v>7</v>
      </c>
      <c r="N9">
        <f>SUM(progress_assignment_fd68e454_ba45_4b85_8205_f3bf777ded24_13_juli[[#This Row],[OPEN]:[EDITED BY Pengawas]])</f>
        <v>185690</v>
      </c>
      <c r="O9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84008</v>
      </c>
      <c r="P9" s="2">
        <f>progress_assignment_fd68e454_ba45_4b85_8205_f3bf777ded24_13_juli[[#This Row],[Not Draft + Open]]/progress_assignment_fd68e454_ba45_4b85_8205_f3bf777ded24_13_juli[[#This Row],[Total]]*100</f>
        <v>45.240993052937689</v>
      </c>
      <c r="Q9" s="4">
        <f>progress_assignment_fd68e454_ba45_4b85_8205_f3bf777ded24_13_juli[[#This Row],[Persentase]]-progress_assignment_fd68e454_ba45_4b85_8205_f3bf777ded24_12_juli[[#This Row],[Persentase]]</f>
        <v>1.3913901141445422</v>
      </c>
      <c r="R9">
        <f>RANK(progress_assignment_fd68e454_ba45_4b85_8205_f3bf777ded24_13_juli[[#This Row],[Persentase]],progress_assignment_fd68e454_ba45_4b85_8205_f3bf777ded24_13_juli[Persentase])</f>
        <v>3</v>
      </c>
    </row>
    <row r="10" spans="1:18" x14ac:dyDescent="0.3">
      <c r="A10">
        <v>7209</v>
      </c>
      <c r="B10">
        <v>34250</v>
      </c>
      <c r="C10">
        <v>17094</v>
      </c>
      <c r="D10">
        <v>9521</v>
      </c>
      <c r="E10">
        <v>1270</v>
      </c>
      <c r="F10">
        <v>2224</v>
      </c>
      <c r="I10">
        <v>129</v>
      </c>
      <c r="J10">
        <v>8</v>
      </c>
      <c r="M10">
        <v>4</v>
      </c>
      <c r="N10">
        <f>SUM(progress_assignment_fd68e454_ba45_4b85_8205_f3bf777ded24_13_juli[[#This Row],[OPEN]:[EDITED BY Pengawas]])</f>
        <v>64500</v>
      </c>
      <c r="O10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28980</v>
      </c>
      <c r="P10" s="2">
        <f>progress_assignment_fd68e454_ba45_4b85_8205_f3bf777ded24_13_juli[[#This Row],[Not Draft + Open]]/progress_assignment_fd68e454_ba45_4b85_8205_f3bf777ded24_13_juli[[#This Row],[Total]]*100</f>
        <v>44.930232558139529</v>
      </c>
      <c r="Q10" s="4">
        <f>progress_assignment_fd68e454_ba45_4b85_8205_f3bf777ded24_13_juli[[#This Row],[Persentase]]-progress_assignment_fd68e454_ba45_4b85_8205_f3bf777ded24_12_juli[[#This Row],[Persentase]]</f>
        <v>1.4630560125690977</v>
      </c>
      <c r="R10">
        <f>RANK(progress_assignment_fd68e454_ba45_4b85_8205_f3bf777ded24_13_juli[[#This Row],[Persentase]],progress_assignment_fd68e454_ba45_4b85_8205_f3bf777ded24_13_juli[Persentase])</f>
        <v>4</v>
      </c>
    </row>
    <row r="11" spans="1:18" x14ac:dyDescent="0.3">
      <c r="A11">
        <v>7210</v>
      </c>
      <c r="B11">
        <v>64080</v>
      </c>
      <c r="C11">
        <v>33100</v>
      </c>
      <c r="D11">
        <v>14320</v>
      </c>
      <c r="E11">
        <v>1960</v>
      </c>
      <c r="F11">
        <v>1896</v>
      </c>
      <c r="G11">
        <v>444</v>
      </c>
      <c r="H11">
        <v>121</v>
      </c>
      <c r="I11">
        <v>81</v>
      </c>
      <c r="J11">
        <v>8</v>
      </c>
      <c r="L11">
        <v>10</v>
      </c>
      <c r="N11">
        <f>SUM(progress_assignment_fd68e454_ba45_4b85_8205_f3bf777ded24_13_juli[[#This Row],[OPEN]:[EDITED BY Pengawas]])</f>
        <v>116020</v>
      </c>
      <c r="O11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49980</v>
      </c>
      <c r="P11" s="2">
        <f>progress_assignment_fd68e454_ba45_4b85_8205_f3bf777ded24_13_juli[[#This Row],[Not Draft + Open]]/progress_assignment_fd68e454_ba45_4b85_8205_f3bf777ded24_13_juli[[#This Row],[Total]]*100</f>
        <v>43.078779520772279</v>
      </c>
      <c r="Q11" s="4">
        <f>progress_assignment_fd68e454_ba45_4b85_8205_f3bf777ded24_13_juli[[#This Row],[Persentase]]-progress_assignment_fd68e454_ba45_4b85_8205_f3bf777ded24_12_juli[[#This Row],[Persentase]]</f>
        <v>1.4041189381238297</v>
      </c>
      <c r="R11">
        <f>RANK(progress_assignment_fd68e454_ba45_4b85_8205_f3bf777ded24_13_juli[[#This Row],[Persentase]],progress_assignment_fd68e454_ba45_4b85_8205_f3bf777ded24_13_juli[Persentase])</f>
        <v>8</v>
      </c>
    </row>
    <row r="12" spans="1:18" x14ac:dyDescent="0.3">
      <c r="A12">
        <v>7211</v>
      </c>
      <c r="B12">
        <v>15777</v>
      </c>
      <c r="C12">
        <v>13521</v>
      </c>
      <c r="D12">
        <v>753</v>
      </c>
      <c r="E12">
        <v>249</v>
      </c>
      <c r="F12">
        <v>100</v>
      </c>
      <c r="G12">
        <v>8</v>
      </c>
      <c r="I12">
        <v>13</v>
      </c>
      <c r="J12">
        <v>24</v>
      </c>
      <c r="M12">
        <v>1</v>
      </c>
      <c r="N12">
        <f>SUM(progress_assignment_fd68e454_ba45_4b85_8205_f3bf777ded24_13_juli[[#This Row],[OPEN]:[EDITED BY Pengawas]])</f>
        <v>30446</v>
      </c>
      <c r="O12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14420</v>
      </c>
      <c r="P12" s="2">
        <f>progress_assignment_fd68e454_ba45_4b85_8205_f3bf777ded24_13_juli[[#This Row],[Not Draft + Open]]/progress_assignment_fd68e454_ba45_4b85_8205_f3bf777ded24_13_juli[[#This Row],[Total]]*100</f>
        <v>47.362543519674176</v>
      </c>
      <c r="Q12" s="4">
        <f>progress_assignment_fd68e454_ba45_4b85_8205_f3bf777ded24_13_juli[[#This Row],[Persentase]]-progress_assignment_fd68e454_ba45_4b85_8205_f3bf777ded24_12_juli[[#This Row],[Persentase]]</f>
        <v>1.5097051205181131</v>
      </c>
      <c r="R12">
        <f>RANK(progress_assignment_fd68e454_ba45_4b85_8205_f3bf777ded24_13_juli[[#This Row],[Persentase]],progress_assignment_fd68e454_ba45_4b85_8205_f3bf777ded24_13_juli[Persentase])</f>
        <v>1</v>
      </c>
    </row>
    <row r="13" spans="1:18" x14ac:dyDescent="0.3">
      <c r="A13">
        <v>7212</v>
      </c>
      <c r="B13">
        <v>28473</v>
      </c>
      <c r="C13">
        <v>9398</v>
      </c>
      <c r="D13">
        <v>7095</v>
      </c>
      <c r="E13">
        <v>836</v>
      </c>
      <c r="F13">
        <v>415</v>
      </c>
      <c r="G13">
        <v>17</v>
      </c>
      <c r="H13">
        <v>35</v>
      </c>
      <c r="I13">
        <v>65</v>
      </c>
      <c r="J13">
        <v>1</v>
      </c>
      <c r="N13">
        <f>SUM(progress_assignment_fd68e454_ba45_4b85_8205_f3bf777ded24_13_juli[[#This Row],[OPEN]:[EDITED BY Pengawas]])</f>
        <v>46335</v>
      </c>
      <c r="O13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17026</v>
      </c>
      <c r="P13" s="2">
        <f>progress_assignment_fd68e454_ba45_4b85_8205_f3bf777ded24_13_juli[[#This Row],[Not Draft + Open]]/progress_assignment_fd68e454_ba45_4b85_8205_f3bf777ded24_13_juli[[#This Row],[Total]]*100</f>
        <v>36.7454408114816</v>
      </c>
      <c r="Q13" s="4">
        <f>progress_assignment_fd68e454_ba45_4b85_8205_f3bf777ded24_13_juli[[#This Row],[Persentase]]-progress_assignment_fd68e454_ba45_4b85_8205_f3bf777ded24_12_juli[[#This Row],[Persentase]]</f>
        <v>2.8791900803449266</v>
      </c>
      <c r="R13">
        <f>RANK(progress_assignment_fd68e454_ba45_4b85_8205_f3bf777ded24_13_juli[[#This Row],[Persentase]],progress_assignment_fd68e454_ba45_4b85_8205_f3bf777ded24_13_juli[Persentase])</f>
        <v>11</v>
      </c>
    </row>
    <row r="14" spans="1:18" x14ac:dyDescent="0.3">
      <c r="A14">
        <v>7271</v>
      </c>
      <c r="B14">
        <v>122524</v>
      </c>
      <c r="C14">
        <v>27844</v>
      </c>
      <c r="D14">
        <v>25727</v>
      </c>
      <c r="E14">
        <v>8526</v>
      </c>
      <c r="F14">
        <v>1231</v>
      </c>
      <c r="G14">
        <v>936</v>
      </c>
      <c r="H14">
        <v>728</v>
      </c>
      <c r="I14">
        <v>95</v>
      </c>
      <c r="J14">
        <v>34</v>
      </c>
      <c r="K14">
        <v>6</v>
      </c>
      <c r="N14">
        <f>SUM(progress_assignment_fd68e454_ba45_4b85_8205_f3bf777ded24_13_juli[[#This Row],[OPEN]:[EDITED BY Pengawas]])</f>
        <v>187651</v>
      </c>
      <c r="O14">
        <f>progress_assignment_fd68e454_ba45_4b85_8205_f3bf777ded24_13_juli[[#This Row],[EDITED BY Pengawas]]+progress_assignment_fd68e454_ba45_4b85_8205_f3bf777ded24_13_juli[[#This Row],[REJECTED BY Admin Kabupaten]]+progress_assignment_fd68e454_ba45_4b85_8205_f3bf777ded24_13_juli[[#This Row],[REVOKED BY Admin Kabupaten]]+progress_assignment_fd68e454_ba45_4b85_8205_f3bf777ded24_13_juli[[#This Row],[SUBMITTED RESPONDENT]]+progress_assignment_fd68e454_ba45_4b85_8205_f3bf777ded24_13_juli[[#This Row],[REVOKED BY Pengawas]]+progress_assignment_fd68e454_ba45_4b85_8205_f3bf777ded24_13_juli[[#This Row],[COMPLETED BY Admin Kabupaten]]+progress_assignment_fd68e454_ba45_4b85_8205_f3bf777ded24_13_juli[[#This Row],[EDITED BY Admin Kabupaten]]+progress_assignment_fd68e454_ba45_4b85_8205_f3bf777ded24_13_juli[[#This Row],[REJECTED BY Pengawas]]+progress_assignment_fd68e454_ba45_4b85_8205_f3bf777ded24_13_juli[[#This Row],[SUBMITTED BY Pencacah]]+progress_assignment_fd68e454_ba45_4b85_8205_f3bf777ded24_13_juli[[#This Row],[APPROVED BY Pengawas]]</f>
        <v>56601</v>
      </c>
      <c r="P14" s="2">
        <f>progress_assignment_fd68e454_ba45_4b85_8205_f3bf777ded24_13_juli[[#This Row],[Not Draft + Open]]/progress_assignment_fd68e454_ba45_4b85_8205_f3bf777ded24_13_juli[[#This Row],[Total]]*100</f>
        <v>30.162908804109755</v>
      </c>
      <c r="Q14" s="4">
        <f>progress_assignment_fd68e454_ba45_4b85_8205_f3bf777ded24_13_juli[[#This Row],[Persentase]]-progress_assignment_fd68e454_ba45_4b85_8205_f3bf777ded24_12_juli[[#This Row],[Persentase]]</f>
        <v>1.6278769569759959</v>
      </c>
      <c r="R14">
        <f>RANK(progress_assignment_fd68e454_ba45_4b85_8205_f3bf777ded24_13_juli[[#This Row],[Persentase]],progress_assignment_fd68e454_ba45_4b85_8205_f3bf777ded24_13_juli[Persentase])</f>
        <v>13</v>
      </c>
    </row>
    <row r="16" spans="1:18" x14ac:dyDescent="0.3">
      <c r="A16" s="5">
        <v>7200</v>
      </c>
      <c r="B16" s="5">
        <f>SUM(progress_assignment_fd68e454_ba45_4b85_8205_f3bf777ded24_13_juli[OPEN])</f>
        <v>716080</v>
      </c>
      <c r="C16" s="5">
        <f>SUM(progress_assignment_fd68e454_ba45_4b85_8205_f3bf777ded24_13_juli[APPROVED BY Pengawas])</f>
        <v>304584</v>
      </c>
      <c r="D16" s="5">
        <f>SUM(progress_assignment_fd68e454_ba45_4b85_8205_f3bf777ded24_13_juli[SUBMITTED BY Pencacah])</f>
        <v>197274</v>
      </c>
      <c r="E16" s="5">
        <f>SUM(progress_assignment_fd68e454_ba45_4b85_8205_f3bf777ded24_13_juli[DRAFT])</f>
        <v>36715</v>
      </c>
      <c r="F16" s="5">
        <f>SUM(progress_assignment_fd68e454_ba45_4b85_8205_f3bf777ded24_13_juli[REJECTED BY Pengawas])</f>
        <v>19485</v>
      </c>
      <c r="G16" s="5">
        <f>SUM(progress_assignment_fd68e454_ba45_4b85_8205_f3bf777ded24_13_juli[EDITED BY Admin Kabupaten])</f>
        <v>3179</v>
      </c>
      <c r="H16" s="5">
        <f>SUM(progress_assignment_fd68e454_ba45_4b85_8205_f3bf777ded24_13_juli[COMPLETED BY Admin Kabupaten])</f>
        <v>2775</v>
      </c>
      <c r="I16" s="5">
        <f>SUM(progress_assignment_fd68e454_ba45_4b85_8205_f3bf777ded24_13_juli[REVOKED BY Pengawas])</f>
        <v>976</v>
      </c>
      <c r="J16" s="5">
        <f>SUM(progress_assignment_fd68e454_ba45_4b85_8205_f3bf777ded24_13_juli[SUBMITTED RESPONDENT])</f>
        <v>271</v>
      </c>
      <c r="K16" s="5">
        <f>SUM(progress_assignment_fd68e454_ba45_4b85_8205_f3bf777ded24_13_juli[REVOKED BY Admin Kabupaten])</f>
        <v>6</v>
      </c>
      <c r="L16" s="5">
        <f>SUM(progress_assignment_fd68e454_ba45_4b85_8205_f3bf777ded24_13_juli[REJECTED BY Admin Kabupaten])</f>
        <v>68</v>
      </c>
      <c r="M16" s="5">
        <f>SUM(progress_assignment_fd68e454_ba45_4b85_8205_f3bf777ded24_13_juli[EDITED BY Pengawas])</f>
        <v>16</v>
      </c>
      <c r="N16" s="5">
        <f>SUM(progress_assignment_fd68e454_ba45_4b85_8205_f3bf777ded24_13_juli[Total])</f>
        <v>1281429</v>
      </c>
      <c r="O16" s="5">
        <f>SUM(progress_assignment_fd68e454_ba45_4b85_8205_f3bf777ded24_13_juli[Not Draft + Open])</f>
        <v>528634</v>
      </c>
      <c r="P16" s="6">
        <f>O16/N16*100</f>
        <v>41.253475611992549</v>
      </c>
      <c r="Q16" s="7">
        <f>P16-'12 Juli'!O16</f>
        <v>1.5932429474444305</v>
      </c>
      <c r="R16" s="5"/>
    </row>
  </sheetData>
  <conditionalFormatting sqref="Q2:Q14">
    <cfRule type="cellIs" dxfId="4" priority="1" operator="greaterThanOrEqual">
      <formula>2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5C789-6898-44CC-BC76-85946D453082}">
  <dimension ref="A1:R16"/>
  <sheetViews>
    <sheetView workbookViewId="0">
      <selection activeCell="N1" sqref="N1:R1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27.88671875" hidden="1" customWidth="1"/>
    <col min="8" max="8" width="32.44140625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s="1" t="s">
        <v>14</v>
      </c>
      <c r="Q1" s="1" t="s">
        <v>16</v>
      </c>
      <c r="R1" t="s">
        <v>17</v>
      </c>
    </row>
    <row r="2" spans="1:18" x14ac:dyDescent="0.3">
      <c r="A2">
        <v>7201</v>
      </c>
      <c r="B2">
        <v>23532</v>
      </c>
      <c r="C2">
        <v>13690</v>
      </c>
      <c r="D2">
        <v>9401</v>
      </c>
      <c r="E2">
        <v>1797</v>
      </c>
      <c r="F2">
        <v>1038</v>
      </c>
      <c r="G2">
        <v>143</v>
      </c>
      <c r="H2">
        <v>4</v>
      </c>
      <c r="I2">
        <v>56</v>
      </c>
      <c r="J2">
        <v>94</v>
      </c>
      <c r="M2">
        <v>1</v>
      </c>
      <c r="N2">
        <f>SUM(progress_assignment_fd68e454_ba45_4b85_8205_f3bf777ded24_14_juli[[#This Row],[OPEN]:[EDITED BY Pengawas]])</f>
        <v>49756</v>
      </c>
      <c r="O2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24427</v>
      </c>
      <c r="P2" s="2">
        <f>progress_assignment_fd68e454_ba45_4b85_8205_f3bf777ded24_14_juli[[#This Row],[Not Draft + Open]]/progress_assignment_fd68e454_ba45_4b85_8205_f3bf777ded24_14_juli[[#This Row],[Total]]*100</f>
        <v>49.093576654071867</v>
      </c>
      <c r="Q2" s="4">
        <f>progress_assignment_fd68e454_ba45_4b85_8205_f3bf777ded24_14_juli[[#This Row],[Persentase]]-progress_assignment_fd68e454_ba45_4b85_8205_f3bf777ded24_13_juli[[#This Row],[Persentase]]</f>
        <v>1.7511861177051102</v>
      </c>
      <c r="R2">
        <f>RANK(progress_assignment_fd68e454_ba45_4b85_8205_f3bf777ded24_14_juli[[#This Row],[Persentase]],progress_assignment_fd68e454_ba45_4b85_8205_f3bf777ded24_14_juli[Persentase])</f>
        <v>1</v>
      </c>
    </row>
    <row r="3" spans="1:18" x14ac:dyDescent="0.3">
      <c r="A3">
        <v>7202</v>
      </c>
      <c r="B3">
        <v>82576</v>
      </c>
      <c r="C3">
        <v>25125</v>
      </c>
      <c r="D3">
        <v>42153</v>
      </c>
      <c r="E3">
        <v>4449</v>
      </c>
      <c r="F3">
        <v>2922</v>
      </c>
      <c r="G3">
        <v>36</v>
      </c>
      <c r="H3">
        <v>13</v>
      </c>
      <c r="I3">
        <v>100</v>
      </c>
      <c r="J3">
        <v>4</v>
      </c>
      <c r="M3">
        <v>1</v>
      </c>
      <c r="N3">
        <f>SUM(progress_assignment_fd68e454_ba45_4b85_8205_f3bf777ded24_14_juli[[#This Row],[OPEN]:[EDITED BY Pengawas]])</f>
        <v>157379</v>
      </c>
      <c r="O3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70354</v>
      </c>
      <c r="P3" s="2">
        <f>progress_assignment_fd68e454_ba45_4b85_8205_f3bf777ded24_14_juli[[#This Row],[Not Draft + Open]]/progress_assignment_fd68e454_ba45_4b85_8205_f3bf777ded24_14_juli[[#This Row],[Total]]*100</f>
        <v>44.703550028911096</v>
      </c>
      <c r="Q3" s="4">
        <f>progress_assignment_fd68e454_ba45_4b85_8205_f3bf777ded24_14_juli[[#This Row],[Persentase]]-progress_assignment_fd68e454_ba45_4b85_8205_f3bf777ded24_13_juli[[#This Row],[Persentase]]</f>
        <v>1.4051661209530835</v>
      </c>
      <c r="R3">
        <f>RANK(progress_assignment_fd68e454_ba45_4b85_8205_f3bf777ded24_14_juli[[#This Row],[Persentase]],progress_assignment_fd68e454_ba45_4b85_8205_f3bf777ded24_14_juli[Persentase])</f>
        <v>7</v>
      </c>
    </row>
    <row r="4" spans="1:18" x14ac:dyDescent="0.3">
      <c r="A4">
        <v>7203</v>
      </c>
      <c r="B4">
        <v>36331</v>
      </c>
      <c r="C4">
        <v>8726</v>
      </c>
      <c r="D4">
        <v>11262</v>
      </c>
      <c r="E4">
        <v>2603</v>
      </c>
      <c r="F4">
        <v>352</v>
      </c>
      <c r="G4">
        <v>32</v>
      </c>
      <c r="H4">
        <v>69</v>
      </c>
      <c r="I4">
        <v>21</v>
      </c>
      <c r="L4">
        <v>1</v>
      </c>
      <c r="N4">
        <f>SUM(progress_assignment_fd68e454_ba45_4b85_8205_f3bf777ded24_14_juli[[#This Row],[OPEN]:[EDITED BY Pengawas]])</f>
        <v>59397</v>
      </c>
      <c r="O4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20463</v>
      </c>
      <c r="P4" s="2">
        <f>progress_assignment_fd68e454_ba45_4b85_8205_f3bf777ded24_14_juli[[#This Row],[Not Draft + Open]]/progress_assignment_fd68e454_ba45_4b85_8205_f3bf777ded24_14_juli[[#This Row],[Total]]*100</f>
        <v>34.451234910854083</v>
      </c>
      <c r="Q4" s="4">
        <f>progress_assignment_fd68e454_ba45_4b85_8205_f3bf777ded24_14_juli[[#This Row],[Persentase]]-progress_assignment_fd68e454_ba45_4b85_8205_f3bf777ded24_13_juli[[#This Row],[Persentase]]</f>
        <v>1.6924967491044072</v>
      </c>
      <c r="R4">
        <f>RANK(progress_assignment_fd68e454_ba45_4b85_8205_f3bf777ded24_14_juli[[#This Row],[Persentase]],progress_assignment_fd68e454_ba45_4b85_8205_f3bf777ded24_14_juli[Persentase])</f>
        <v>12</v>
      </c>
    </row>
    <row r="5" spans="1:18" x14ac:dyDescent="0.3">
      <c r="A5">
        <v>7204</v>
      </c>
      <c r="B5">
        <v>59896</v>
      </c>
      <c r="C5">
        <v>31212</v>
      </c>
      <c r="D5">
        <v>17616</v>
      </c>
      <c r="E5">
        <v>3569</v>
      </c>
      <c r="F5">
        <v>1825</v>
      </c>
      <c r="G5">
        <v>395</v>
      </c>
      <c r="H5">
        <v>23</v>
      </c>
      <c r="I5">
        <v>95</v>
      </c>
      <c r="J5">
        <v>47</v>
      </c>
      <c r="L5">
        <v>3</v>
      </c>
      <c r="N5">
        <f>SUM(progress_assignment_fd68e454_ba45_4b85_8205_f3bf777ded24_14_juli[[#This Row],[OPEN]:[EDITED BY Pengawas]])</f>
        <v>114681</v>
      </c>
      <c r="O5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51216</v>
      </c>
      <c r="P5" s="2">
        <f>progress_assignment_fd68e454_ba45_4b85_8205_f3bf777ded24_14_juli[[#This Row],[Not Draft + Open]]/progress_assignment_fd68e454_ba45_4b85_8205_f3bf777ded24_14_juli[[#This Row],[Total]]*100</f>
        <v>44.659533837340099</v>
      </c>
      <c r="Q5" s="4">
        <f>progress_assignment_fd68e454_ba45_4b85_8205_f3bf777ded24_14_juli[[#This Row],[Persentase]]-progress_assignment_fd68e454_ba45_4b85_8205_f3bf777ded24_13_juli[[#This Row],[Persentase]]</f>
        <v>1.7515463598578904</v>
      </c>
      <c r="R5">
        <f>RANK(progress_assignment_fd68e454_ba45_4b85_8205_f3bf777ded24_14_juli[[#This Row],[Persentase]],progress_assignment_fd68e454_ba45_4b85_8205_f3bf777ded24_14_juli[Persentase])</f>
        <v>8</v>
      </c>
    </row>
    <row r="6" spans="1:18" x14ac:dyDescent="0.3">
      <c r="A6">
        <v>7205</v>
      </c>
      <c r="B6">
        <v>62636</v>
      </c>
      <c r="C6">
        <v>44513</v>
      </c>
      <c r="D6">
        <v>8245</v>
      </c>
      <c r="E6">
        <v>2280</v>
      </c>
      <c r="F6">
        <v>869</v>
      </c>
      <c r="G6">
        <v>563</v>
      </c>
      <c r="H6">
        <v>662</v>
      </c>
      <c r="I6">
        <v>103</v>
      </c>
      <c r="J6">
        <v>5</v>
      </c>
      <c r="L6">
        <v>46</v>
      </c>
      <c r="N6">
        <f>SUM(progress_assignment_fd68e454_ba45_4b85_8205_f3bf777ded24_14_juli[[#This Row],[OPEN]:[EDITED BY Pengawas]])</f>
        <v>119922</v>
      </c>
      <c r="O6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55006</v>
      </c>
      <c r="P6" s="2">
        <f>progress_assignment_fd68e454_ba45_4b85_8205_f3bf777ded24_14_juli[[#This Row],[Not Draft + Open]]/progress_assignment_fd68e454_ba45_4b85_8205_f3bf777ded24_14_juli[[#This Row],[Total]]*100</f>
        <v>45.868147629292373</v>
      </c>
      <c r="Q6" s="4">
        <f>progress_assignment_fd68e454_ba45_4b85_8205_f3bf777ded24_14_juli[[#This Row],[Persentase]]-progress_assignment_fd68e454_ba45_4b85_8205_f3bf777ded24_13_juli[[#This Row],[Persentase]]</f>
        <v>2.0639391671157341</v>
      </c>
      <c r="R6">
        <f>RANK(progress_assignment_fd68e454_ba45_4b85_8205_f3bf777ded24_14_juli[[#This Row],[Persentase]],progress_assignment_fd68e454_ba45_4b85_8205_f3bf777ded24_14_juli[Persentase])</f>
        <v>5</v>
      </c>
    </row>
    <row r="7" spans="1:18" x14ac:dyDescent="0.3">
      <c r="A7">
        <v>7206</v>
      </c>
      <c r="B7">
        <v>46250</v>
      </c>
      <c r="C7">
        <v>28652</v>
      </c>
      <c r="D7">
        <v>10069</v>
      </c>
      <c r="E7">
        <v>2407</v>
      </c>
      <c r="F7">
        <v>842</v>
      </c>
      <c r="G7">
        <v>483</v>
      </c>
      <c r="I7">
        <v>62</v>
      </c>
      <c r="M7">
        <v>2</v>
      </c>
      <c r="N7">
        <f>SUM(progress_assignment_fd68e454_ba45_4b85_8205_f3bf777ded24_14_juli[[#This Row],[OPEN]:[EDITED BY Pengawas]])</f>
        <v>88767</v>
      </c>
      <c r="O7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40110</v>
      </c>
      <c r="P7" s="2">
        <f>progress_assignment_fd68e454_ba45_4b85_8205_f3bf777ded24_14_juli[[#This Row],[Not Draft + Open]]/progress_assignment_fd68e454_ba45_4b85_8205_f3bf777ded24_14_juli[[#This Row],[Total]]*100</f>
        <v>45.185710906079962</v>
      </c>
      <c r="Q7" s="4">
        <f>progress_assignment_fd68e454_ba45_4b85_8205_f3bf777ded24_14_juli[[#This Row],[Persentase]]-progress_assignment_fd68e454_ba45_4b85_8205_f3bf777ded24_13_juli[[#This Row],[Persentase]]</f>
        <v>1.4514176234609337</v>
      </c>
      <c r="R7">
        <f>RANK(progress_assignment_fd68e454_ba45_4b85_8205_f3bf777ded24_14_juli[[#This Row],[Persentase]],progress_assignment_fd68e454_ba45_4b85_8205_f3bf777ded24_14_juli[Persentase])</f>
        <v>6</v>
      </c>
    </row>
    <row r="8" spans="1:18" x14ac:dyDescent="0.3">
      <c r="A8">
        <v>7207</v>
      </c>
      <c r="B8">
        <v>33201</v>
      </c>
      <c r="C8">
        <v>15540</v>
      </c>
      <c r="D8">
        <v>10695</v>
      </c>
      <c r="E8">
        <v>2633</v>
      </c>
      <c r="F8">
        <v>1543</v>
      </c>
      <c r="G8">
        <v>111</v>
      </c>
      <c r="H8">
        <v>1</v>
      </c>
      <c r="I8">
        <v>39</v>
      </c>
      <c r="J8">
        <v>46</v>
      </c>
      <c r="L8">
        <v>4</v>
      </c>
      <c r="N8">
        <f>SUM(progress_assignment_fd68e454_ba45_4b85_8205_f3bf777ded24_14_juli[[#This Row],[OPEN]:[EDITED BY Pengawas]])</f>
        <v>63813</v>
      </c>
      <c r="O8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27979</v>
      </c>
      <c r="P8" s="2">
        <f>progress_assignment_fd68e454_ba45_4b85_8205_f3bf777ded24_14_juli[[#This Row],[Not Draft + Open]]/progress_assignment_fd68e454_ba45_4b85_8205_f3bf777ded24_14_juli[[#This Row],[Total]]*100</f>
        <v>43.845297980035411</v>
      </c>
      <c r="Q8" s="4">
        <f>progress_assignment_fd68e454_ba45_4b85_8205_f3bf777ded24_14_juli[[#This Row],[Persentase]]-progress_assignment_fd68e454_ba45_4b85_8205_f3bf777ded24_13_juli[[#This Row],[Persentase]]</f>
        <v>1.3616583635824355</v>
      </c>
      <c r="R8">
        <f>RANK(progress_assignment_fd68e454_ba45_4b85_8205_f3bf777ded24_14_juli[[#This Row],[Persentase]],progress_assignment_fd68e454_ba45_4b85_8205_f3bf777ded24_14_juli[Persentase])</f>
        <v>10</v>
      </c>
    </row>
    <row r="9" spans="1:18" x14ac:dyDescent="0.3">
      <c r="A9">
        <v>7208</v>
      </c>
      <c r="B9">
        <v>95526</v>
      </c>
      <c r="C9">
        <v>52374</v>
      </c>
      <c r="D9">
        <v>28947</v>
      </c>
      <c r="E9">
        <v>3999</v>
      </c>
      <c r="F9">
        <v>3863</v>
      </c>
      <c r="G9">
        <v>62</v>
      </c>
      <c r="H9">
        <v>1260</v>
      </c>
      <c r="I9">
        <v>148</v>
      </c>
      <c r="L9">
        <v>11</v>
      </c>
      <c r="M9">
        <v>7</v>
      </c>
      <c r="N9">
        <f>SUM(progress_assignment_fd68e454_ba45_4b85_8205_f3bf777ded24_14_juli[[#This Row],[OPEN]:[EDITED BY Pengawas]])</f>
        <v>186197</v>
      </c>
      <c r="O9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86672</v>
      </c>
      <c r="P9" s="2">
        <f>progress_assignment_fd68e454_ba45_4b85_8205_f3bf777ded24_14_juli[[#This Row],[Not Draft + Open]]/progress_assignment_fd68e454_ba45_4b85_8205_f3bf777ded24_14_juli[[#This Row],[Total]]*100</f>
        <v>46.548548043201556</v>
      </c>
      <c r="Q9" s="4">
        <f>progress_assignment_fd68e454_ba45_4b85_8205_f3bf777ded24_14_juli[[#This Row],[Persentase]]-progress_assignment_fd68e454_ba45_4b85_8205_f3bf777ded24_13_juli[[#This Row],[Persentase]]</f>
        <v>1.307554990263867</v>
      </c>
      <c r="R9">
        <f>RANK(progress_assignment_fd68e454_ba45_4b85_8205_f3bf777ded24_14_juli[[#This Row],[Persentase]],progress_assignment_fd68e454_ba45_4b85_8205_f3bf777ded24_14_juli[Persentase])</f>
        <v>4</v>
      </c>
    </row>
    <row r="10" spans="1:18" x14ac:dyDescent="0.3">
      <c r="A10">
        <v>7209</v>
      </c>
      <c r="B10">
        <v>33180</v>
      </c>
      <c r="C10">
        <v>18313</v>
      </c>
      <c r="D10">
        <v>9566</v>
      </c>
      <c r="E10">
        <v>1275</v>
      </c>
      <c r="F10">
        <v>2232</v>
      </c>
      <c r="I10">
        <v>123</v>
      </c>
      <c r="J10">
        <v>8</v>
      </c>
      <c r="M10">
        <v>4</v>
      </c>
      <c r="N10">
        <f>SUM(progress_assignment_fd68e454_ba45_4b85_8205_f3bf777ded24_14_juli[[#This Row],[OPEN]:[EDITED BY Pengawas]])</f>
        <v>64701</v>
      </c>
      <c r="O10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30246</v>
      </c>
      <c r="P10" s="2">
        <f>progress_assignment_fd68e454_ba45_4b85_8205_f3bf777ded24_14_juli[[#This Row],[Not Draft + Open]]/progress_assignment_fd68e454_ba45_4b85_8205_f3bf777ded24_14_juli[[#This Row],[Total]]*100</f>
        <v>46.747345481522693</v>
      </c>
      <c r="Q10" s="4">
        <f>progress_assignment_fd68e454_ba45_4b85_8205_f3bf777ded24_14_juli[[#This Row],[Persentase]]-progress_assignment_fd68e454_ba45_4b85_8205_f3bf777ded24_13_juli[[#This Row],[Persentase]]</f>
        <v>1.8171129233831635</v>
      </c>
      <c r="R10">
        <f>RANK(progress_assignment_fd68e454_ba45_4b85_8205_f3bf777ded24_14_juli[[#This Row],[Persentase]],progress_assignment_fd68e454_ba45_4b85_8205_f3bf777ded24_14_juli[Persentase])</f>
        <v>3</v>
      </c>
    </row>
    <row r="11" spans="1:18" x14ac:dyDescent="0.3">
      <c r="A11">
        <v>7210</v>
      </c>
      <c r="B11">
        <v>62625</v>
      </c>
      <c r="C11">
        <v>35538</v>
      </c>
      <c r="D11">
        <v>13593</v>
      </c>
      <c r="E11">
        <v>2045</v>
      </c>
      <c r="F11">
        <v>1926</v>
      </c>
      <c r="G11">
        <v>440</v>
      </c>
      <c r="H11">
        <v>121</v>
      </c>
      <c r="I11">
        <v>89</v>
      </c>
      <c r="J11">
        <v>8</v>
      </c>
      <c r="L11">
        <v>10</v>
      </c>
      <c r="N11">
        <f>SUM(progress_assignment_fd68e454_ba45_4b85_8205_f3bf777ded24_14_juli[[#This Row],[OPEN]:[EDITED BY Pengawas]])</f>
        <v>116395</v>
      </c>
      <c r="O11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51725</v>
      </c>
      <c r="P11" s="2">
        <f>progress_assignment_fd68e454_ba45_4b85_8205_f3bf777ded24_14_juli[[#This Row],[Not Draft + Open]]/progress_assignment_fd68e454_ba45_4b85_8205_f3bf777ded24_14_juli[[#This Row],[Total]]*100</f>
        <v>44.439194123458911</v>
      </c>
      <c r="Q11" s="4">
        <f>progress_assignment_fd68e454_ba45_4b85_8205_f3bf777ded24_14_juli[[#This Row],[Persentase]]-progress_assignment_fd68e454_ba45_4b85_8205_f3bf777ded24_13_juli[[#This Row],[Persentase]]</f>
        <v>1.3604146026866317</v>
      </c>
      <c r="R11">
        <f>RANK(progress_assignment_fd68e454_ba45_4b85_8205_f3bf777ded24_14_juli[[#This Row],[Persentase]],progress_assignment_fd68e454_ba45_4b85_8205_f3bf777ded24_14_juli[Persentase])</f>
        <v>9</v>
      </c>
    </row>
    <row r="12" spans="1:18" x14ac:dyDescent="0.3">
      <c r="A12">
        <v>7211</v>
      </c>
      <c r="B12">
        <v>15408</v>
      </c>
      <c r="C12">
        <v>14075</v>
      </c>
      <c r="D12">
        <v>697</v>
      </c>
      <c r="E12">
        <v>249</v>
      </c>
      <c r="F12">
        <v>73</v>
      </c>
      <c r="G12">
        <v>8</v>
      </c>
      <c r="I12">
        <v>14</v>
      </c>
      <c r="J12">
        <v>24</v>
      </c>
      <c r="M12">
        <v>1</v>
      </c>
      <c r="N12">
        <f>SUM(progress_assignment_fd68e454_ba45_4b85_8205_f3bf777ded24_14_juli[[#This Row],[OPEN]:[EDITED BY Pengawas]])</f>
        <v>30549</v>
      </c>
      <c r="O12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14892</v>
      </c>
      <c r="P12" s="2">
        <f>progress_assignment_fd68e454_ba45_4b85_8205_f3bf777ded24_14_juli[[#This Row],[Not Draft + Open]]/progress_assignment_fd68e454_ba45_4b85_8205_f3bf777ded24_14_juli[[#This Row],[Total]]*100</f>
        <v>48.747913188647743</v>
      </c>
      <c r="Q12" s="4">
        <f>progress_assignment_fd68e454_ba45_4b85_8205_f3bf777ded24_14_juli[[#This Row],[Persentase]]-progress_assignment_fd68e454_ba45_4b85_8205_f3bf777ded24_13_juli[[#This Row],[Persentase]]</f>
        <v>1.3853696689735671</v>
      </c>
      <c r="R12">
        <f>RANK(progress_assignment_fd68e454_ba45_4b85_8205_f3bf777ded24_14_juli[[#This Row],[Persentase]],progress_assignment_fd68e454_ba45_4b85_8205_f3bf777ded24_14_juli[Persentase])</f>
        <v>2</v>
      </c>
    </row>
    <row r="13" spans="1:18" x14ac:dyDescent="0.3">
      <c r="A13">
        <v>7212</v>
      </c>
      <c r="B13">
        <v>27712</v>
      </c>
      <c r="C13">
        <v>10166</v>
      </c>
      <c r="D13">
        <v>7191</v>
      </c>
      <c r="E13">
        <v>848</v>
      </c>
      <c r="F13">
        <v>436</v>
      </c>
      <c r="G13">
        <v>17</v>
      </c>
      <c r="H13">
        <v>35</v>
      </c>
      <c r="I13">
        <v>65</v>
      </c>
      <c r="J13">
        <v>1</v>
      </c>
      <c r="N13">
        <f>SUM(progress_assignment_fd68e454_ba45_4b85_8205_f3bf777ded24_14_juli[[#This Row],[OPEN]:[EDITED BY Pengawas]])</f>
        <v>46471</v>
      </c>
      <c r="O13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17911</v>
      </c>
      <c r="P13" s="2">
        <f>progress_assignment_fd68e454_ba45_4b85_8205_f3bf777ded24_14_juli[[#This Row],[Not Draft + Open]]/progress_assignment_fd68e454_ba45_4b85_8205_f3bf777ded24_14_juli[[#This Row],[Total]]*100</f>
        <v>38.54231671364937</v>
      </c>
      <c r="Q13" s="4">
        <f>progress_assignment_fd68e454_ba45_4b85_8205_f3bf777ded24_14_juli[[#This Row],[Persentase]]-progress_assignment_fd68e454_ba45_4b85_8205_f3bf777ded24_13_juli[[#This Row],[Persentase]]</f>
        <v>1.7968759021677698</v>
      </c>
      <c r="R13">
        <f>RANK(progress_assignment_fd68e454_ba45_4b85_8205_f3bf777ded24_14_juli[[#This Row],[Persentase]],progress_assignment_fd68e454_ba45_4b85_8205_f3bf777ded24_14_juli[Persentase])</f>
        <v>11</v>
      </c>
    </row>
    <row r="14" spans="1:18" x14ac:dyDescent="0.3">
      <c r="A14">
        <v>7271</v>
      </c>
      <c r="B14">
        <v>119753</v>
      </c>
      <c r="C14">
        <v>29481</v>
      </c>
      <c r="D14">
        <v>27773</v>
      </c>
      <c r="E14">
        <v>8352</v>
      </c>
      <c r="F14">
        <v>1236</v>
      </c>
      <c r="G14">
        <v>1010</v>
      </c>
      <c r="H14">
        <v>782</v>
      </c>
      <c r="I14">
        <v>101</v>
      </c>
      <c r="J14">
        <v>34</v>
      </c>
      <c r="K14">
        <v>6</v>
      </c>
      <c r="N14">
        <f>SUM(progress_assignment_fd68e454_ba45_4b85_8205_f3bf777ded24_14_juli[[#This Row],[OPEN]:[EDITED BY Pengawas]])</f>
        <v>188528</v>
      </c>
      <c r="O14">
        <f>progress_assignment_fd68e454_ba45_4b85_8205_f3bf777ded24_14_juli[[#This Row],[EDITED BY Pengawas]]+progress_assignment_fd68e454_ba45_4b85_8205_f3bf777ded24_14_juli[[#This Row],[REJECTED BY Admin Kabupaten]]+progress_assignment_fd68e454_ba45_4b85_8205_f3bf777ded24_14_juli[[#This Row],[REVOKED BY Admin Kabupaten]]+progress_assignment_fd68e454_ba45_4b85_8205_f3bf777ded24_14_juli[[#This Row],[SUBMITTED RESPONDENT]]+progress_assignment_fd68e454_ba45_4b85_8205_f3bf777ded24_14_juli[[#This Row],[REVOKED BY Pengawas]]+progress_assignment_fd68e454_ba45_4b85_8205_f3bf777ded24_14_juli[[#This Row],[COMPLETED BY Admin Kabupaten]]+progress_assignment_fd68e454_ba45_4b85_8205_f3bf777ded24_14_juli[[#This Row],[EDITED BY Admin Kabupaten]]+progress_assignment_fd68e454_ba45_4b85_8205_f3bf777ded24_14_juli[[#This Row],[REJECTED BY Pengawas]]+progress_assignment_fd68e454_ba45_4b85_8205_f3bf777ded24_14_juli[[#This Row],[SUBMITTED BY Pencacah]]+progress_assignment_fd68e454_ba45_4b85_8205_f3bf777ded24_14_juli[[#This Row],[APPROVED BY Pengawas]]</f>
        <v>60423</v>
      </c>
      <c r="P14" s="2">
        <f>progress_assignment_fd68e454_ba45_4b85_8205_f3bf777ded24_14_juli[[#This Row],[Not Draft + Open]]/progress_assignment_fd68e454_ba45_4b85_8205_f3bf777ded24_14_juli[[#This Row],[Total]]*100</f>
        <v>32.049881184757702</v>
      </c>
      <c r="Q14" s="4">
        <f>progress_assignment_fd68e454_ba45_4b85_8205_f3bf777ded24_14_juli[[#This Row],[Persentase]]-progress_assignment_fd68e454_ba45_4b85_8205_f3bf777ded24_13_juli[[#This Row],[Persentase]]</f>
        <v>1.886972380647947</v>
      </c>
      <c r="R14">
        <f>RANK(progress_assignment_fd68e454_ba45_4b85_8205_f3bf777ded24_14_juli[[#This Row],[Persentase]],progress_assignment_fd68e454_ba45_4b85_8205_f3bf777ded24_14_juli[Persentase])</f>
        <v>13</v>
      </c>
    </row>
    <row r="16" spans="1:18" x14ac:dyDescent="0.3">
      <c r="A16" s="5">
        <v>7200</v>
      </c>
      <c r="B16" s="5">
        <f>SUM(progress_assignment_fd68e454_ba45_4b85_8205_f3bf777ded24_14_juli[OPEN])</f>
        <v>698626</v>
      </c>
      <c r="C16" s="5">
        <f>SUM(progress_assignment_fd68e454_ba45_4b85_8205_f3bf777ded24_14_juli[APPROVED BY Pengawas])</f>
        <v>327405</v>
      </c>
      <c r="D16" s="5">
        <f>SUM(progress_assignment_fd68e454_ba45_4b85_8205_f3bf777ded24_14_juli[SUBMITTED BY Pencacah])</f>
        <v>197208</v>
      </c>
      <c r="E16" s="5">
        <f>SUM(progress_assignment_fd68e454_ba45_4b85_8205_f3bf777ded24_14_juli[DRAFT])</f>
        <v>36506</v>
      </c>
      <c r="F16" s="5">
        <f>SUM(progress_assignment_fd68e454_ba45_4b85_8205_f3bf777ded24_14_juli[REJECTED BY Pengawas])</f>
        <v>19157</v>
      </c>
      <c r="G16" s="5">
        <f>SUM(progress_assignment_fd68e454_ba45_4b85_8205_f3bf777ded24_14_juli[EDITED BY Admin Kabupaten])</f>
        <v>3300</v>
      </c>
      <c r="H16" s="5">
        <f>SUM(progress_assignment_fd68e454_ba45_4b85_8205_f3bf777ded24_14_juli[COMPLETED BY Admin Kabupaten])</f>
        <v>2970</v>
      </c>
      <c r="I16" s="5">
        <f>SUM(progress_assignment_fd68e454_ba45_4b85_8205_f3bf777ded24_14_juli[REVOKED BY Pengawas])</f>
        <v>1016</v>
      </c>
      <c r="J16" s="5">
        <f>SUM(progress_assignment_fd68e454_ba45_4b85_8205_f3bf777ded24_14_juli[SUBMITTED RESPONDENT])</f>
        <v>271</v>
      </c>
      <c r="K16" s="5">
        <f>SUM(progress_assignment_fd68e454_ba45_4b85_8205_f3bf777ded24_14_juli[REVOKED BY Admin Kabupaten])</f>
        <v>6</v>
      </c>
      <c r="L16" s="5">
        <f>SUM(progress_assignment_fd68e454_ba45_4b85_8205_f3bf777ded24_14_juli[REJECTED BY Admin Kabupaten])</f>
        <v>75</v>
      </c>
      <c r="M16" s="5">
        <f>SUM(progress_assignment_fd68e454_ba45_4b85_8205_f3bf777ded24_14_juli[EDITED BY Pengawas])</f>
        <v>16</v>
      </c>
      <c r="N16" s="5">
        <f>SUM(progress_assignment_fd68e454_ba45_4b85_8205_f3bf777ded24_14_juli[Total])</f>
        <v>1286556</v>
      </c>
      <c r="O16" s="5">
        <f>SUM(progress_assignment_fd68e454_ba45_4b85_8205_f3bf777ded24_14_juli[Not Draft + Open])</f>
        <v>551424</v>
      </c>
      <c r="P16" s="6">
        <f>O16/N16*100</f>
        <v>42.86047400968166</v>
      </c>
      <c r="Q16" s="7">
        <f>P16-'13 juli'!P16</f>
        <v>1.6069983976891109</v>
      </c>
      <c r="R16" s="5"/>
    </row>
  </sheetData>
  <conditionalFormatting sqref="Q2:Q14">
    <cfRule type="cellIs" dxfId="3" priority="1" operator="greaterThanOrEqual">
      <formula>2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1093-5EDD-4309-891B-43E430DCBF66}">
  <dimension ref="A1:R16"/>
  <sheetViews>
    <sheetView workbookViewId="0">
      <selection activeCell="N1" sqref="N1:R1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32.44140625" hidden="1" customWidth="1"/>
    <col min="7" max="7" width="27.88671875" hidden="1" customWidth="1"/>
    <col min="8" max="8" width="23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6</v>
      </c>
      <c r="H1" t="s">
        <v>5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s="1" t="s">
        <v>14</v>
      </c>
      <c r="Q1" s="1" t="s">
        <v>16</v>
      </c>
      <c r="R1" t="s">
        <v>17</v>
      </c>
    </row>
    <row r="2" spans="1:18" x14ac:dyDescent="0.3">
      <c r="A2">
        <v>7201</v>
      </c>
      <c r="B2">
        <v>22458</v>
      </c>
      <c r="C2">
        <v>14545</v>
      </c>
      <c r="D2">
        <v>9976</v>
      </c>
      <c r="E2">
        <v>1722</v>
      </c>
      <c r="F2">
        <v>4</v>
      </c>
      <c r="G2">
        <v>163</v>
      </c>
      <c r="H2">
        <v>1026</v>
      </c>
      <c r="I2">
        <v>52</v>
      </c>
      <c r="J2">
        <v>90</v>
      </c>
      <c r="M2">
        <v>1</v>
      </c>
      <c r="N2">
        <f>SUM(progress_assignment_fd68e454_ba45_4b85_8205_f3bf777ded24__5[[#This Row],[OPEN]:[EDITED BY Pengawas]])</f>
        <v>50037</v>
      </c>
      <c r="O2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25857</v>
      </c>
      <c r="P2" s="2">
        <f>progress_assignment_fd68e454_ba45_4b85_8205_f3bf777ded24__5[[#This Row],[Not Draft + Open]]/progress_assignment_fd68e454_ba45_4b85_8205_f3bf777ded24__5[[#This Row],[Total]]*100</f>
        <v>51.675759937646134</v>
      </c>
      <c r="Q2" s="4">
        <f>progress_assignment_fd68e454_ba45_4b85_8205_f3bf777ded24__5[[#This Row],[Persentase]]-progress_assignment_fd68e454_ba45_4b85_8205_f3bf777ded24_14_juli[[#This Row],[Persentase]]</f>
        <v>2.5821832835742669</v>
      </c>
      <c r="R2">
        <f>RANK(progress_assignment_fd68e454_ba45_4b85_8205_f3bf777ded24__5[[#This Row],[Persentase]],progress_assignment_fd68e454_ba45_4b85_8205_f3bf777ded24__5[Persentase])</f>
        <v>1</v>
      </c>
    </row>
    <row r="3" spans="1:18" x14ac:dyDescent="0.3">
      <c r="A3">
        <v>7202</v>
      </c>
      <c r="B3">
        <v>80159</v>
      </c>
      <c r="C3">
        <v>27017</v>
      </c>
      <c r="D3">
        <v>43294</v>
      </c>
      <c r="E3">
        <v>4469</v>
      </c>
      <c r="F3">
        <v>13</v>
      </c>
      <c r="G3">
        <v>36</v>
      </c>
      <c r="H3">
        <v>2885</v>
      </c>
      <c r="I3">
        <v>108</v>
      </c>
      <c r="J3">
        <v>4</v>
      </c>
      <c r="M3">
        <v>1</v>
      </c>
      <c r="N3">
        <f>SUM(progress_assignment_fd68e454_ba45_4b85_8205_f3bf777ded24__5[[#This Row],[OPEN]:[EDITED BY Pengawas]])</f>
        <v>157986</v>
      </c>
      <c r="O3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73358</v>
      </c>
      <c r="P3" s="2">
        <f>progress_assignment_fd68e454_ba45_4b85_8205_f3bf777ded24__5[[#This Row],[Not Draft + Open]]/progress_assignment_fd68e454_ba45_4b85_8205_f3bf777ded24__5[[#This Row],[Total]]*100</f>
        <v>46.433228260731966</v>
      </c>
      <c r="Q3" s="4">
        <f>progress_assignment_fd68e454_ba45_4b85_8205_f3bf777ded24__5[[#This Row],[Persentase]]-progress_assignment_fd68e454_ba45_4b85_8205_f3bf777ded24_14_juli[[#This Row],[Persentase]]</f>
        <v>1.7296782318208699</v>
      </c>
      <c r="R3">
        <f>RANK(progress_assignment_fd68e454_ba45_4b85_8205_f3bf777ded24__5[[#This Row],[Persentase]],progress_assignment_fd68e454_ba45_4b85_8205_f3bf777ded24__5[Persentase])</f>
        <v>9</v>
      </c>
    </row>
    <row r="4" spans="1:18" x14ac:dyDescent="0.3">
      <c r="A4">
        <v>7203</v>
      </c>
      <c r="B4">
        <v>35329</v>
      </c>
      <c r="C4">
        <v>10029</v>
      </c>
      <c r="D4">
        <v>12031</v>
      </c>
      <c r="E4">
        <v>2421</v>
      </c>
      <c r="F4">
        <v>69</v>
      </c>
      <c r="G4">
        <v>32</v>
      </c>
      <c r="H4">
        <v>328</v>
      </c>
      <c r="I4">
        <v>32</v>
      </c>
      <c r="L4">
        <v>1</v>
      </c>
      <c r="N4">
        <f>SUM(progress_assignment_fd68e454_ba45_4b85_8205_f3bf777ded24__5[[#This Row],[OPEN]:[EDITED BY Pengawas]])</f>
        <v>60272</v>
      </c>
      <c r="O4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22522</v>
      </c>
      <c r="P4" s="2">
        <f>progress_assignment_fd68e454_ba45_4b85_8205_f3bf777ded24__5[[#This Row],[Not Draft + Open]]/progress_assignment_fd68e454_ba45_4b85_8205_f3bf777ded24__5[[#This Row],[Total]]*100</f>
        <v>37.367268383328913</v>
      </c>
      <c r="Q4" s="4">
        <f>progress_assignment_fd68e454_ba45_4b85_8205_f3bf777ded24__5[[#This Row],[Persentase]]-progress_assignment_fd68e454_ba45_4b85_8205_f3bf777ded24_14_juli[[#This Row],[Persentase]]</f>
        <v>2.9160334724748296</v>
      </c>
      <c r="R4">
        <f>RANK(progress_assignment_fd68e454_ba45_4b85_8205_f3bf777ded24__5[[#This Row],[Persentase]],progress_assignment_fd68e454_ba45_4b85_8205_f3bf777ded24__5[Persentase])</f>
        <v>12</v>
      </c>
    </row>
    <row r="5" spans="1:18" x14ac:dyDescent="0.3">
      <c r="A5">
        <v>7204</v>
      </c>
      <c r="B5">
        <v>57417</v>
      </c>
      <c r="C5">
        <v>34633</v>
      </c>
      <c r="D5">
        <v>17110</v>
      </c>
      <c r="E5">
        <v>3382</v>
      </c>
      <c r="F5">
        <v>23</v>
      </c>
      <c r="G5">
        <v>454</v>
      </c>
      <c r="H5">
        <v>1956</v>
      </c>
      <c r="I5">
        <v>114</v>
      </c>
      <c r="J5">
        <v>47</v>
      </c>
      <c r="L5">
        <v>3</v>
      </c>
      <c r="N5">
        <f>SUM(progress_assignment_fd68e454_ba45_4b85_8205_f3bf777ded24__5[[#This Row],[OPEN]:[EDITED BY Pengawas]])</f>
        <v>115139</v>
      </c>
      <c r="O5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54340</v>
      </c>
      <c r="P5" s="2">
        <f>progress_assignment_fd68e454_ba45_4b85_8205_f3bf777ded24__5[[#This Row],[Not Draft + Open]]/progress_assignment_fd68e454_ba45_4b85_8205_f3bf777ded24__5[[#This Row],[Total]]*100</f>
        <v>47.195129365375763</v>
      </c>
      <c r="Q5" s="4">
        <f>progress_assignment_fd68e454_ba45_4b85_8205_f3bf777ded24__5[[#This Row],[Persentase]]-progress_assignment_fd68e454_ba45_4b85_8205_f3bf777ded24_14_juli[[#This Row],[Persentase]]</f>
        <v>2.5355955280356639</v>
      </c>
      <c r="R5">
        <f>RANK(progress_assignment_fd68e454_ba45_4b85_8205_f3bf777ded24__5[[#This Row],[Persentase]],progress_assignment_fd68e454_ba45_4b85_8205_f3bf777ded24__5[Persentase])</f>
        <v>6</v>
      </c>
    </row>
    <row r="6" spans="1:18" x14ac:dyDescent="0.3">
      <c r="A6">
        <v>7205</v>
      </c>
      <c r="B6">
        <v>60435</v>
      </c>
      <c r="C6">
        <v>47541</v>
      </c>
      <c r="D6">
        <v>7969</v>
      </c>
      <c r="E6">
        <v>2224</v>
      </c>
      <c r="F6">
        <v>831</v>
      </c>
      <c r="G6">
        <v>604</v>
      </c>
      <c r="H6">
        <v>841</v>
      </c>
      <c r="I6">
        <v>181</v>
      </c>
      <c r="J6">
        <v>5</v>
      </c>
      <c r="L6">
        <v>36</v>
      </c>
      <c r="N6">
        <f>SUM(progress_assignment_fd68e454_ba45_4b85_8205_f3bf777ded24__5[[#This Row],[OPEN]:[EDITED BY Pengawas]])</f>
        <v>120667</v>
      </c>
      <c r="O6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58008</v>
      </c>
      <c r="P6" s="2">
        <f>progress_assignment_fd68e454_ba45_4b85_8205_f3bf777ded24__5[[#This Row],[Not Draft + Open]]/progress_assignment_fd68e454_ba45_4b85_8205_f3bf777ded24__5[[#This Row],[Total]]*100</f>
        <v>48.072795379018288</v>
      </c>
      <c r="Q6" s="4">
        <f>progress_assignment_fd68e454_ba45_4b85_8205_f3bf777ded24__5[[#This Row],[Persentase]]-progress_assignment_fd68e454_ba45_4b85_8205_f3bf777ded24_14_juli[[#This Row],[Persentase]]</f>
        <v>2.2046477497259147</v>
      </c>
      <c r="R6">
        <f>RANK(progress_assignment_fd68e454_ba45_4b85_8205_f3bf777ded24__5[[#This Row],[Persentase]],progress_assignment_fd68e454_ba45_4b85_8205_f3bf777ded24__5[Persentase])</f>
        <v>4</v>
      </c>
    </row>
    <row r="7" spans="1:18" x14ac:dyDescent="0.3">
      <c r="A7">
        <v>7206</v>
      </c>
      <c r="B7">
        <v>45101</v>
      </c>
      <c r="C7">
        <v>32279</v>
      </c>
      <c r="D7">
        <v>8189</v>
      </c>
      <c r="E7">
        <v>2321</v>
      </c>
      <c r="G7">
        <v>504</v>
      </c>
      <c r="H7">
        <v>663</v>
      </c>
      <c r="I7">
        <v>78</v>
      </c>
      <c r="M7">
        <v>2</v>
      </c>
      <c r="N7">
        <f>SUM(progress_assignment_fd68e454_ba45_4b85_8205_f3bf777ded24__5[[#This Row],[OPEN]:[EDITED BY Pengawas]])</f>
        <v>89137</v>
      </c>
      <c r="O7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41715</v>
      </c>
      <c r="P7" s="2">
        <f>progress_assignment_fd68e454_ba45_4b85_8205_f3bf777ded24__5[[#This Row],[Not Draft + Open]]/progress_assignment_fd68e454_ba45_4b85_8205_f3bf777ded24__5[[#This Row],[Total]]*100</f>
        <v>46.798747994659905</v>
      </c>
      <c r="Q7" s="4">
        <f>progress_assignment_fd68e454_ba45_4b85_8205_f3bf777ded24__5[[#This Row],[Persentase]]-progress_assignment_fd68e454_ba45_4b85_8205_f3bf777ded24_14_juli[[#This Row],[Persentase]]</f>
        <v>1.6130370885799437</v>
      </c>
      <c r="R7">
        <f>RANK(progress_assignment_fd68e454_ba45_4b85_8205_f3bf777ded24__5[[#This Row],[Persentase]],progress_assignment_fd68e454_ba45_4b85_8205_f3bf777ded24__5[Persentase])</f>
        <v>7</v>
      </c>
    </row>
    <row r="8" spans="1:18" x14ac:dyDescent="0.3">
      <c r="A8">
        <v>7207</v>
      </c>
      <c r="B8">
        <v>32408</v>
      </c>
      <c r="C8">
        <v>18764</v>
      </c>
      <c r="D8">
        <v>9076</v>
      </c>
      <c r="E8">
        <v>2443</v>
      </c>
      <c r="F8">
        <v>1</v>
      </c>
      <c r="G8">
        <v>111</v>
      </c>
      <c r="H8">
        <v>1069</v>
      </c>
      <c r="I8">
        <v>45</v>
      </c>
      <c r="J8">
        <v>46</v>
      </c>
      <c r="L8">
        <v>2</v>
      </c>
      <c r="N8">
        <f>SUM(progress_assignment_fd68e454_ba45_4b85_8205_f3bf777ded24__5[[#This Row],[OPEN]:[EDITED BY Pengawas]])</f>
        <v>63965</v>
      </c>
      <c r="O8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29114</v>
      </c>
      <c r="P8" s="2">
        <f>progress_assignment_fd68e454_ba45_4b85_8205_f3bf777ded24__5[[#This Row],[Not Draft + Open]]/progress_assignment_fd68e454_ba45_4b85_8205_f3bf777ded24__5[[#This Row],[Total]]*100</f>
        <v>45.515516297975452</v>
      </c>
      <c r="Q8" s="4">
        <f>progress_assignment_fd68e454_ba45_4b85_8205_f3bf777ded24__5[[#This Row],[Persentase]]-progress_assignment_fd68e454_ba45_4b85_8205_f3bf777ded24_14_juli[[#This Row],[Persentase]]</f>
        <v>1.6702183179400407</v>
      </c>
      <c r="R8">
        <f>RANK(progress_assignment_fd68e454_ba45_4b85_8205_f3bf777ded24__5[[#This Row],[Persentase]],progress_assignment_fd68e454_ba45_4b85_8205_f3bf777ded24__5[Persentase])</f>
        <v>10</v>
      </c>
    </row>
    <row r="9" spans="1:18" x14ac:dyDescent="0.3">
      <c r="A9">
        <v>7208</v>
      </c>
      <c r="B9">
        <v>92965</v>
      </c>
      <c r="C9">
        <v>57351</v>
      </c>
      <c r="D9">
        <v>27067</v>
      </c>
      <c r="E9">
        <v>4057</v>
      </c>
      <c r="F9">
        <v>1499</v>
      </c>
      <c r="G9">
        <v>71</v>
      </c>
      <c r="H9">
        <v>3591</v>
      </c>
      <c r="I9">
        <v>160</v>
      </c>
      <c r="L9">
        <v>11</v>
      </c>
      <c r="M9">
        <v>6</v>
      </c>
      <c r="N9">
        <f>SUM(progress_assignment_fd68e454_ba45_4b85_8205_f3bf777ded24__5[[#This Row],[OPEN]:[EDITED BY Pengawas]])</f>
        <v>186778</v>
      </c>
      <c r="O9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89756</v>
      </c>
      <c r="P9" s="2">
        <f>progress_assignment_fd68e454_ba45_4b85_8205_f3bf777ded24__5[[#This Row],[Not Draft + Open]]/progress_assignment_fd68e454_ba45_4b85_8205_f3bf777ded24__5[[#This Row],[Total]]*100</f>
        <v>48.054910107186075</v>
      </c>
      <c r="Q9" s="4">
        <f>progress_assignment_fd68e454_ba45_4b85_8205_f3bf777ded24__5[[#This Row],[Persentase]]-progress_assignment_fd68e454_ba45_4b85_8205_f3bf777ded24_14_juli[[#This Row],[Persentase]]</f>
        <v>1.5063620639845183</v>
      </c>
      <c r="R9">
        <f>RANK(progress_assignment_fd68e454_ba45_4b85_8205_f3bf777ded24__5[[#This Row],[Persentase]],progress_assignment_fd68e454_ba45_4b85_8205_f3bf777ded24__5[Persentase])</f>
        <v>5</v>
      </c>
    </row>
    <row r="10" spans="1:18" x14ac:dyDescent="0.3">
      <c r="A10">
        <v>7209</v>
      </c>
      <c r="B10">
        <v>31712</v>
      </c>
      <c r="C10">
        <v>20430</v>
      </c>
      <c r="D10">
        <v>9337</v>
      </c>
      <c r="E10">
        <v>1254</v>
      </c>
      <c r="H10">
        <v>2095</v>
      </c>
      <c r="I10">
        <v>120</v>
      </c>
      <c r="J10">
        <v>8</v>
      </c>
      <c r="M10">
        <v>4</v>
      </c>
      <c r="N10">
        <f>SUM(progress_assignment_fd68e454_ba45_4b85_8205_f3bf777ded24__5[[#This Row],[OPEN]:[EDITED BY Pengawas]])</f>
        <v>64960</v>
      </c>
      <c r="O10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31994</v>
      </c>
      <c r="P10" s="2">
        <f>progress_assignment_fd68e454_ba45_4b85_8205_f3bf777ded24__5[[#This Row],[Not Draft + Open]]/progress_assignment_fd68e454_ba45_4b85_8205_f3bf777ded24__5[[#This Row],[Total]]*100</f>
        <v>49.251847290640391</v>
      </c>
      <c r="Q10" s="4">
        <f>progress_assignment_fd68e454_ba45_4b85_8205_f3bf777ded24__5[[#This Row],[Persentase]]-progress_assignment_fd68e454_ba45_4b85_8205_f3bf777ded24_14_juli[[#This Row],[Persentase]]</f>
        <v>2.5045018091176985</v>
      </c>
      <c r="R10">
        <f>RANK(progress_assignment_fd68e454_ba45_4b85_8205_f3bf777ded24__5[[#This Row],[Persentase]],progress_assignment_fd68e454_ba45_4b85_8205_f3bf777ded24__5[Persentase])</f>
        <v>3</v>
      </c>
    </row>
    <row r="11" spans="1:18" x14ac:dyDescent="0.3">
      <c r="A11">
        <v>7210</v>
      </c>
      <c r="B11">
        <v>60381</v>
      </c>
      <c r="C11">
        <v>38285</v>
      </c>
      <c r="D11">
        <v>13985</v>
      </c>
      <c r="E11">
        <v>1902</v>
      </c>
      <c r="F11">
        <v>121</v>
      </c>
      <c r="G11">
        <v>451</v>
      </c>
      <c r="H11">
        <v>1630</v>
      </c>
      <c r="I11">
        <v>90</v>
      </c>
      <c r="J11">
        <v>8</v>
      </c>
      <c r="L11">
        <v>10</v>
      </c>
      <c r="N11">
        <f>SUM(progress_assignment_fd68e454_ba45_4b85_8205_f3bf777ded24__5[[#This Row],[OPEN]:[EDITED BY Pengawas]])</f>
        <v>116863</v>
      </c>
      <c r="O11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54580</v>
      </c>
      <c r="P11" s="2">
        <f>progress_assignment_fd68e454_ba45_4b85_8205_f3bf777ded24__5[[#This Row],[Not Draft + Open]]/progress_assignment_fd68e454_ba45_4b85_8205_f3bf777ded24__5[[#This Row],[Total]]*100</f>
        <v>46.704260544398139</v>
      </c>
      <c r="Q11" s="4">
        <f>progress_assignment_fd68e454_ba45_4b85_8205_f3bf777ded24__5[[#This Row],[Persentase]]-progress_assignment_fd68e454_ba45_4b85_8205_f3bf777ded24_14_juli[[#This Row],[Persentase]]</f>
        <v>2.2650664209392275</v>
      </c>
      <c r="R11">
        <f>RANK(progress_assignment_fd68e454_ba45_4b85_8205_f3bf777ded24__5[[#This Row],[Persentase]],progress_assignment_fd68e454_ba45_4b85_8205_f3bf777ded24__5[Persentase])</f>
        <v>8</v>
      </c>
    </row>
    <row r="12" spans="1:18" x14ac:dyDescent="0.3">
      <c r="A12">
        <v>7211</v>
      </c>
      <c r="B12">
        <v>14989</v>
      </c>
      <c r="C12">
        <v>14588</v>
      </c>
      <c r="D12">
        <v>690</v>
      </c>
      <c r="E12">
        <v>289</v>
      </c>
      <c r="G12">
        <v>8</v>
      </c>
      <c r="H12">
        <v>55</v>
      </c>
      <c r="I12">
        <v>10</v>
      </c>
      <c r="J12">
        <v>24</v>
      </c>
      <c r="M12">
        <v>1</v>
      </c>
      <c r="N12">
        <f>SUM(progress_assignment_fd68e454_ba45_4b85_8205_f3bf777ded24__5[[#This Row],[OPEN]:[EDITED BY Pengawas]])</f>
        <v>30654</v>
      </c>
      <c r="O12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15376</v>
      </c>
      <c r="P12" s="2">
        <f>progress_assignment_fd68e454_ba45_4b85_8205_f3bf777ded24__5[[#This Row],[Not Draft + Open]]/progress_assignment_fd68e454_ba45_4b85_8205_f3bf777ded24__5[[#This Row],[Total]]*100</f>
        <v>50.159848633131077</v>
      </c>
      <c r="Q12" s="4">
        <f>progress_assignment_fd68e454_ba45_4b85_8205_f3bf777ded24__5[[#This Row],[Persentase]]-progress_assignment_fd68e454_ba45_4b85_8205_f3bf777ded24_14_juli[[#This Row],[Persentase]]</f>
        <v>1.4119354444833334</v>
      </c>
      <c r="R12">
        <f>RANK(progress_assignment_fd68e454_ba45_4b85_8205_f3bf777ded24__5[[#This Row],[Persentase]],progress_assignment_fd68e454_ba45_4b85_8205_f3bf777ded24__5[Persentase])</f>
        <v>2</v>
      </c>
    </row>
    <row r="13" spans="1:18" x14ac:dyDescent="0.3">
      <c r="A13">
        <v>7212</v>
      </c>
      <c r="B13">
        <v>26653</v>
      </c>
      <c r="C13">
        <v>11228</v>
      </c>
      <c r="D13">
        <v>7533</v>
      </c>
      <c r="E13">
        <v>781</v>
      </c>
      <c r="F13">
        <v>35</v>
      </c>
      <c r="G13">
        <v>17</v>
      </c>
      <c r="H13">
        <v>354</v>
      </c>
      <c r="I13">
        <v>67</v>
      </c>
      <c r="J13">
        <v>1</v>
      </c>
      <c r="N13">
        <f>SUM(progress_assignment_fd68e454_ba45_4b85_8205_f3bf777ded24__5[[#This Row],[OPEN]:[EDITED BY Pengawas]])</f>
        <v>46669</v>
      </c>
      <c r="O13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19235</v>
      </c>
      <c r="P13" s="2">
        <f>progress_assignment_fd68e454_ba45_4b85_8205_f3bf777ded24__5[[#This Row],[Not Draft + Open]]/progress_assignment_fd68e454_ba45_4b85_8205_f3bf777ded24__5[[#This Row],[Total]]*100</f>
        <v>41.215796353039494</v>
      </c>
      <c r="Q13" s="4">
        <f>progress_assignment_fd68e454_ba45_4b85_8205_f3bf777ded24__5[[#This Row],[Persentase]]-progress_assignment_fd68e454_ba45_4b85_8205_f3bf777ded24_14_juli[[#This Row],[Persentase]]</f>
        <v>2.6734796393901235</v>
      </c>
      <c r="R13">
        <f>RANK(progress_assignment_fd68e454_ba45_4b85_8205_f3bf777ded24__5[[#This Row],[Persentase]],progress_assignment_fd68e454_ba45_4b85_8205_f3bf777ded24__5[Persentase])</f>
        <v>11</v>
      </c>
    </row>
    <row r="14" spans="1:18" x14ac:dyDescent="0.3">
      <c r="A14">
        <v>7271</v>
      </c>
      <c r="B14">
        <v>115220</v>
      </c>
      <c r="C14">
        <v>31178</v>
      </c>
      <c r="D14">
        <v>30929</v>
      </c>
      <c r="E14">
        <v>7928</v>
      </c>
      <c r="F14">
        <v>1644</v>
      </c>
      <c r="G14">
        <v>1426</v>
      </c>
      <c r="H14">
        <v>1256</v>
      </c>
      <c r="I14">
        <v>100</v>
      </c>
      <c r="J14">
        <v>35</v>
      </c>
      <c r="K14">
        <v>6</v>
      </c>
      <c r="N14">
        <f>SUM(progress_assignment_fd68e454_ba45_4b85_8205_f3bf777ded24__5[[#This Row],[OPEN]:[EDITED BY Pengawas]])</f>
        <v>189722</v>
      </c>
      <c r="O14">
        <f>progress_assignment_fd68e454_ba45_4b85_8205_f3bf777ded24__5[[#This Row],[EDITED BY Pengawas]]+progress_assignment_fd68e454_ba45_4b85_8205_f3bf777ded24__5[[#This Row],[REJECTED BY Admin Kabupaten]]+progress_assignment_fd68e454_ba45_4b85_8205_f3bf777ded24__5[[#This Row],[REVOKED BY Admin Kabupaten]]+progress_assignment_fd68e454_ba45_4b85_8205_f3bf777ded24__5[[#This Row],[SUBMITTED RESPONDENT]]+progress_assignment_fd68e454_ba45_4b85_8205_f3bf777ded24__5[[#This Row],[REVOKED BY Pengawas]]+progress_assignment_fd68e454_ba45_4b85_8205_f3bf777ded24__5[[#This Row],[REJECTED BY Pengawas]]+progress_assignment_fd68e454_ba45_4b85_8205_f3bf777ded24__5[[#This Row],[EDITED BY Admin Kabupaten]]+progress_assignment_fd68e454_ba45_4b85_8205_f3bf777ded24__5[[#This Row],[COMPLETED BY Admin Kabupaten]]+progress_assignment_fd68e454_ba45_4b85_8205_f3bf777ded24__5[[#This Row],[SUBMITTED BY Pencacah]]+progress_assignment_fd68e454_ba45_4b85_8205_f3bf777ded24__5[[#This Row],[APPROVED BY Pengawas]]</f>
        <v>66574</v>
      </c>
      <c r="P14" s="2">
        <f>progress_assignment_fd68e454_ba45_4b85_8205_f3bf777ded24__5[[#This Row],[Not Draft + Open]]/progress_assignment_fd68e454_ba45_4b85_8205_f3bf777ded24__5[[#This Row],[Total]]*100</f>
        <v>35.090290003267938</v>
      </c>
      <c r="Q14" s="4">
        <f>progress_assignment_fd68e454_ba45_4b85_8205_f3bf777ded24__5[[#This Row],[Persentase]]-progress_assignment_fd68e454_ba45_4b85_8205_f3bf777ded24_14_juli[[#This Row],[Persentase]]</f>
        <v>3.0404088185102367</v>
      </c>
      <c r="R14">
        <f>RANK(progress_assignment_fd68e454_ba45_4b85_8205_f3bf777ded24__5[[#This Row],[Persentase]],progress_assignment_fd68e454_ba45_4b85_8205_f3bf777ded24__5[Persentase])</f>
        <v>13</v>
      </c>
    </row>
    <row r="16" spans="1:18" x14ac:dyDescent="0.3">
      <c r="A16" s="5">
        <v>7200</v>
      </c>
      <c r="B16" s="5">
        <f>SUM(progress_assignment_fd68e454_ba45_4b85_8205_f3bf777ded24__5[OPEN])</f>
        <v>675227</v>
      </c>
      <c r="C16" s="5">
        <f>SUM(progress_assignment_fd68e454_ba45_4b85_8205_f3bf777ded24__5[APPROVED BY Pengawas])</f>
        <v>357868</v>
      </c>
      <c r="D16" s="5">
        <f>SUM(progress_assignment_fd68e454_ba45_4b85_8205_f3bf777ded24__5[SUBMITTED BY Pencacah])</f>
        <v>197186</v>
      </c>
      <c r="E16" s="5">
        <f>SUM(progress_assignment_fd68e454_ba45_4b85_8205_f3bf777ded24__5[DRAFT])</f>
        <v>35193</v>
      </c>
      <c r="F16" s="5">
        <f>SUM(progress_assignment_fd68e454_ba45_4b85_8205_f3bf777ded24__5[COMPLETED BY Admin Kabupaten])</f>
        <v>4240</v>
      </c>
      <c r="G16" s="5">
        <f>SUM(progress_assignment_fd68e454_ba45_4b85_8205_f3bf777ded24__5[EDITED BY Admin Kabupaten])</f>
        <v>3877</v>
      </c>
      <c r="H16" s="5">
        <f>SUM(progress_assignment_fd68e454_ba45_4b85_8205_f3bf777ded24__5[REJECTED BY Pengawas])</f>
        <v>17749</v>
      </c>
      <c r="I16" s="5">
        <f>SUM(progress_assignment_fd68e454_ba45_4b85_8205_f3bf777ded24__5[REVOKED BY Pengawas])</f>
        <v>1157</v>
      </c>
      <c r="J16" s="5">
        <f>SUM(progress_assignment_fd68e454_ba45_4b85_8205_f3bf777ded24__5[SUBMITTED RESPONDENT])</f>
        <v>268</v>
      </c>
      <c r="K16" s="5">
        <f>SUM(progress_assignment_fd68e454_ba45_4b85_8205_f3bf777ded24__5[REVOKED BY Admin Kabupaten])</f>
        <v>6</v>
      </c>
      <c r="L16" s="5">
        <f>SUM(progress_assignment_fd68e454_ba45_4b85_8205_f3bf777ded24__5[REJECTED BY Admin Kabupaten])</f>
        <v>63</v>
      </c>
      <c r="M16" s="5">
        <f>SUM(progress_assignment_fd68e454_ba45_4b85_8205_f3bf777ded24__5[EDITED BY Pengawas])</f>
        <v>15</v>
      </c>
      <c r="N16" s="5">
        <f>SUM(progress_assignment_fd68e454_ba45_4b85_8205_f3bf777ded24__5[Total])</f>
        <v>1292849</v>
      </c>
      <c r="O16" s="5">
        <f>SUM(progress_assignment_fd68e454_ba45_4b85_8205_f3bf777ded24__5[Not Draft + Open])</f>
        <v>582429</v>
      </c>
      <c r="P16" s="6">
        <f>O16/N16*100</f>
        <v>45.050040646664847</v>
      </c>
      <c r="Q16" s="7">
        <f>P16-'14 Juli'!P16</f>
        <v>2.1895666369831872</v>
      </c>
      <c r="R16" s="5"/>
    </row>
  </sheetData>
  <conditionalFormatting sqref="Q2:Q14">
    <cfRule type="cellIs" dxfId="2" priority="1" operator="greaterThanOrEqual">
      <formula>2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4378B-4758-4C73-9E85-4E0082B7AC01}">
  <dimension ref="A1:R16"/>
  <sheetViews>
    <sheetView workbookViewId="0">
      <selection activeCell="T34" sqref="T34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32.44140625" hidden="1" customWidth="1"/>
    <col min="7" max="7" width="27.88671875" hidden="1" customWidth="1"/>
    <col min="8" max="8" width="23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6</v>
      </c>
      <c r="H1" t="s">
        <v>5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s="1" t="s">
        <v>14</v>
      </c>
      <c r="Q1" s="1" t="s">
        <v>16</v>
      </c>
      <c r="R1" t="s">
        <v>17</v>
      </c>
    </row>
    <row r="2" spans="1:18" x14ac:dyDescent="0.3">
      <c r="A2">
        <v>7201</v>
      </c>
      <c r="B2">
        <v>22194</v>
      </c>
      <c r="C2">
        <v>14749</v>
      </c>
      <c r="D2">
        <v>10143</v>
      </c>
      <c r="E2">
        <v>1699</v>
      </c>
      <c r="F2">
        <v>4</v>
      </c>
      <c r="G2">
        <v>178</v>
      </c>
      <c r="H2">
        <v>1008</v>
      </c>
      <c r="I2">
        <v>56</v>
      </c>
      <c r="J2">
        <v>90</v>
      </c>
      <c r="M2">
        <v>1</v>
      </c>
      <c r="N2">
        <f>SUM(progress_assignment_fd68e454_ba45_4b85_8205_f3bf777ded_16_juli[[#This Row],[OPEN]:[EDITED BY Pengawas]])</f>
        <v>50122</v>
      </c>
      <c r="O2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26229</v>
      </c>
      <c r="P2" s="2">
        <f>progress_assignment_fd68e454_ba45_4b85_8205_f3bf777ded_16_juli[[#This Row],[Not Draft + Open]]/progress_assignment_fd68e454_ba45_4b85_8205_f3bf777ded_16_juli[[#This Row],[Total]]*100</f>
        <v>52.330314033757631</v>
      </c>
      <c r="Q2" s="4">
        <f>progress_assignment_fd68e454_ba45_4b85_8205_f3bf777ded_16_juli[[#This Row],[Persentase]]-progress_assignment_fd68e454_ba45_4b85_8205_f3bf777ded24__5[[#This Row],[Persentase]]</f>
        <v>0.65455409611149662</v>
      </c>
      <c r="R2">
        <f>RANK(progress_assignment_fd68e454_ba45_4b85_8205_f3bf777ded_16_juli[[#This Row],[Persentase]],progress_assignment_fd68e454_ba45_4b85_8205_f3bf777ded_16_juli[Persentase])</f>
        <v>1</v>
      </c>
    </row>
    <row r="3" spans="1:18" x14ac:dyDescent="0.3">
      <c r="A3">
        <v>7202</v>
      </c>
      <c r="B3">
        <v>78985</v>
      </c>
      <c r="C3">
        <v>28662</v>
      </c>
      <c r="D3">
        <v>43044</v>
      </c>
      <c r="E3">
        <v>4383</v>
      </c>
      <c r="F3">
        <v>13</v>
      </c>
      <c r="G3">
        <v>36</v>
      </c>
      <c r="H3">
        <v>3118</v>
      </c>
      <c r="I3">
        <v>123</v>
      </c>
      <c r="J3">
        <v>4</v>
      </c>
      <c r="M3">
        <v>1</v>
      </c>
      <c r="N3">
        <f>SUM(progress_assignment_fd68e454_ba45_4b85_8205_f3bf777ded_16_juli[[#This Row],[OPEN]:[EDITED BY Pengawas]])</f>
        <v>158369</v>
      </c>
      <c r="O3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75001</v>
      </c>
      <c r="P3" s="2">
        <f>progress_assignment_fd68e454_ba45_4b85_8205_f3bf777ded_16_juli[[#This Row],[Not Draft + Open]]/progress_assignment_fd68e454_ba45_4b85_8205_f3bf777ded_16_juli[[#This Row],[Total]]*100</f>
        <v>47.358384532326404</v>
      </c>
      <c r="Q3" s="4">
        <f>progress_assignment_fd68e454_ba45_4b85_8205_f3bf777ded_16_juli[[#This Row],[Persentase]]-progress_assignment_fd68e454_ba45_4b85_8205_f3bf777ded24__5[[#This Row],[Persentase]]</f>
        <v>0.92515627159443881</v>
      </c>
      <c r="R3">
        <f>RANK(progress_assignment_fd68e454_ba45_4b85_8205_f3bf777ded_16_juli[[#This Row],[Persentase]],progress_assignment_fd68e454_ba45_4b85_8205_f3bf777ded_16_juli[Persentase])</f>
        <v>9</v>
      </c>
    </row>
    <row r="4" spans="1:18" x14ac:dyDescent="0.3">
      <c r="A4">
        <v>7203</v>
      </c>
      <c r="B4">
        <v>34968</v>
      </c>
      <c r="C4">
        <v>10514</v>
      </c>
      <c r="D4">
        <v>12297</v>
      </c>
      <c r="E4">
        <v>2364</v>
      </c>
      <c r="F4">
        <v>69</v>
      </c>
      <c r="G4">
        <v>32</v>
      </c>
      <c r="H4">
        <v>307</v>
      </c>
      <c r="I4">
        <v>33</v>
      </c>
      <c r="L4">
        <v>1</v>
      </c>
      <c r="N4">
        <f>SUM(progress_assignment_fd68e454_ba45_4b85_8205_f3bf777ded_16_juli[[#This Row],[OPEN]:[EDITED BY Pengawas]])</f>
        <v>60585</v>
      </c>
      <c r="O4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23253</v>
      </c>
      <c r="P4" s="2">
        <f>progress_assignment_fd68e454_ba45_4b85_8205_f3bf777ded_16_juli[[#This Row],[Not Draft + Open]]/progress_assignment_fd68e454_ba45_4b85_8205_f3bf777ded_16_juli[[#This Row],[Total]]*100</f>
        <v>38.380787323594951</v>
      </c>
      <c r="Q4" s="4">
        <f>progress_assignment_fd68e454_ba45_4b85_8205_f3bf777ded_16_juli[[#This Row],[Persentase]]-progress_assignment_fd68e454_ba45_4b85_8205_f3bf777ded24__5[[#This Row],[Persentase]]</f>
        <v>1.0135189402660387</v>
      </c>
      <c r="R4">
        <f>RANK(progress_assignment_fd68e454_ba45_4b85_8205_f3bf777ded_16_juli[[#This Row],[Persentase]],progress_assignment_fd68e454_ba45_4b85_8205_f3bf777ded_16_juli[Persentase])</f>
        <v>12</v>
      </c>
    </row>
    <row r="5" spans="1:18" x14ac:dyDescent="0.3">
      <c r="A5">
        <v>7204</v>
      </c>
      <c r="B5">
        <v>56499</v>
      </c>
      <c r="C5">
        <v>36106</v>
      </c>
      <c r="D5">
        <v>16638</v>
      </c>
      <c r="E5">
        <v>3316</v>
      </c>
      <c r="F5">
        <v>23</v>
      </c>
      <c r="G5">
        <v>474</v>
      </c>
      <c r="H5">
        <v>2052</v>
      </c>
      <c r="I5">
        <v>122</v>
      </c>
      <c r="J5">
        <v>47</v>
      </c>
      <c r="L5">
        <v>3</v>
      </c>
      <c r="N5">
        <f>SUM(progress_assignment_fd68e454_ba45_4b85_8205_f3bf777ded_16_juli[[#This Row],[OPEN]:[EDITED BY Pengawas]])</f>
        <v>115280</v>
      </c>
      <c r="O5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55465</v>
      </c>
      <c r="P5" s="2">
        <f>progress_assignment_fd68e454_ba45_4b85_8205_f3bf777ded_16_juli[[#This Row],[Not Draft + Open]]/progress_assignment_fd68e454_ba45_4b85_8205_f3bf777ded_16_juli[[#This Row],[Total]]*100</f>
        <v>48.113289382373353</v>
      </c>
      <c r="Q5" s="4">
        <f>progress_assignment_fd68e454_ba45_4b85_8205_f3bf777ded_16_juli[[#This Row],[Persentase]]-progress_assignment_fd68e454_ba45_4b85_8205_f3bf777ded24__5[[#This Row],[Persentase]]</f>
        <v>0.91816001699758942</v>
      </c>
      <c r="R5">
        <f>RANK(progress_assignment_fd68e454_ba45_4b85_8205_f3bf777ded_16_juli[[#This Row],[Persentase]],progress_assignment_fd68e454_ba45_4b85_8205_f3bf777ded_16_juli[Persentase])</f>
        <v>6</v>
      </c>
    </row>
    <row r="6" spans="1:18" x14ac:dyDescent="0.3">
      <c r="A6">
        <v>7205</v>
      </c>
      <c r="B6">
        <v>59333</v>
      </c>
      <c r="C6">
        <v>49234</v>
      </c>
      <c r="D6">
        <v>7809</v>
      </c>
      <c r="E6">
        <v>2238</v>
      </c>
      <c r="F6">
        <v>866</v>
      </c>
      <c r="G6">
        <v>645</v>
      </c>
      <c r="H6">
        <v>765</v>
      </c>
      <c r="I6">
        <v>151</v>
      </c>
      <c r="J6">
        <v>5</v>
      </c>
      <c r="L6">
        <v>34</v>
      </c>
      <c r="N6">
        <f>SUM(progress_assignment_fd68e454_ba45_4b85_8205_f3bf777ded_16_juli[[#This Row],[OPEN]:[EDITED BY Pengawas]])</f>
        <v>121080</v>
      </c>
      <c r="O6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59509</v>
      </c>
      <c r="P6" s="2">
        <f>progress_assignment_fd68e454_ba45_4b85_8205_f3bf777ded_16_juli[[#This Row],[Not Draft + Open]]/progress_assignment_fd68e454_ba45_4b85_8205_f3bf777ded_16_juli[[#This Row],[Total]]*100</f>
        <v>49.148496861579119</v>
      </c>
      <c r="Q6" s="4">
        <f>progress_assignment_fd68e454_ba45_4b85_8205_f3bf777ded_16_juli[[#This Row],[Persentase]]-progress_assignment_fd68e454_ba45_4b85_8205_f3bf777ded24__5[[#This Row],[Persentase]]</f>
        <v>1.0757014825608309</v>
      </c>
      <c r="R6">
        <f>RANK(progress_assignment_fd68e454_ba45_4b85_8205_f3bf777ded_16_juli[[#This Row],[Persentase]],progress_assignment_fd68e454_ba45_4b85_8205_f3bf777ded_16_juli[Persentase])</f>
        <v>4</v>
      </c>
    </row>
    <row r="7" spans="1:18" x14ac:dyDescent="0.3">
      <c r="A7">
        <v>7206</v>
      </c>
      <c r="B7">
        <v>44535</v>
      </c>
      <c r="C7">
        <v>34504</v>
      </c>
      <c r="D7">
        <v>6616</v>
      </c>
      <c r="E7">
        <v>2230</v>
      </c>
      <c r="G7">
        <v>506</v>
      </c>
      <c r="H7">
        <v>835</v>
      </c>
      <c r="I7">
        <v>84</v>
      </c>
      <c r="M7">
        <v>2</v>
      </c>
      <c r="N7">
        <f>SUM(progress_assignment_fd68e454_ba45_4b85_8205_f3bf777ded_16_juli[[#This Row],[OPEN]:[EDITED BY Pengawas]])</f>
        <v>89312</v>
      </c>
      <c r="O7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42547</v>
      </c>
      <c r="P7" s="2">
        <f>progress_assignment_fd68e454_ba45_4b85_8205_f3bf777ded_16_juli[[#This Row],[Not Draft + Open]]/progress_assignment_fd68e454_ba45_4b85_8205_f3bf777ded_16_juli[[#This Row],[Total]]*100</f>
        <v>47.638615191687563</v>
      </c>
      <c r="Q7" s="4">
        <f>progress_assignment_fd68e454_ba45_4b85_8205_f3bf777ded_16_juli[[#This Row],[Persentase]]-progress_assignment_fd68e454_ba45_4b85_8205_f3bf777ded24__5[[#This Row],[Persentase]]</f>
        <v>0.83986719702765811</v>
      </c>
      <c r="R7">
        <f>RANK(progress_assignment_fd68e454_ba45_4b85_8205_f3bf777ded_16_juli[[#This Row],[Persentase]],progress_assignment_fd68e454_ba45_4b85_8205_f3bf777ded_16_juli[Persentase])</f>
        <v>8</v>
      </c>
    </row>
    <row r="8" spans="1:18" x14ac:dyDescent="0.3">
      <c r="A8">
        <v>7207</v>
      </c>
      <c r="B8">
        <v>32056</v>
      </c>
      <c r="C8">
        <v>20577</v>
      </c>
      <c r="D8">
        <v>7935</v>
      </c>
      <c r="E8">
        <v>2376</v>
      </c>
      <c r="F8">
        <v>1</v>
      </c>
      <c r="G8">
        <v>111</v>
      </c>
      <c r="H8">
        <v>945</v>
      </c>
      <c r="I8">
        <v>50</v>
      </c>
      <c r="J8">
        <v>46</v>
      </c>
      <c r="L8">
        <v>1</v>
      </c>
      <c r="N8">
        <f>SUM(progress_assignment_fd68e454_ba45_4b85_8205_f3bf777ded_16_juli[[#This Row],[OPEN]:[EDITED BY Pengawas]])</f>
        <v>64098</v>
      </c>
      <c r="O8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29666</v>
      </c>
      <c r="P8" s="2">
        <f>progress_assignment_fd68e454_ba45_4b85_8205_f3bf777ded_16_juli[[#This Row],[Not Draft + Open]]/progress_assignment_fd68e454_ba45_4b85_8205_f3bf777ded_16_juli[[#This Row],[Total]]*100</f>
        <v>46.282255296577119</v>
      </c>
      <c r="Q8" s="4">
        <f>progress_assignment_fd68e454_ba45_4b85_8205_f3bf777ded_16_juli[[#This Row],[Persentase]]-progress_assignment_fd68e454_ba45_4b85_8205_f3bf777ded24__5[[#This Row],[Persentase]]</f>
        <v>0.76673899860166728</v>
      </c>
      <c r="R8">
        <f>RANK(progress_assignment_fd68e454_ba45_4b85_8205_f3bf777ded_16_juli[[#This Row],[Persentase]],progress_assignment_fd68e454_ba45_4b85_8205_f3bf777ded_16_juli[Persentase])</f>
        <v>10</v>
      </c>
    </row>
    <row r="9" spans="1:18" x14ac:dyDescent="0.3">
      <c r="A9">
        <v>7208</v>
      </c>
      <c r="B9">
        <v>91729</v>
      </c>
      <c r="C9">
        <v>59599</v>
      </c>
      <c r="D9">
        <v>26198</v>
      </c>
      <c r="E9">
        <v>4083</v>
      </c>
      <c r="F9">
        <v>1551</v>
      </c>
      <c r="G9">
        <v>71</v>
      </c>
      <c r="H9">
        <v>3708</v>
      </c>
      <c r="I9">
        <v>169</v>
      </c>
      <c r="L9">
        <v>12</v>
      </c>
      <c r="M9">
        <v>6</v>
      </c>
      <c r="N9">
        <f>SUM(progress_assignment_fd68e454_ba45_4b85_8205_f3bf777ded_16_juli[[#This Row],[OPEN]:[EDITED BY Pengawas]])</f>
        <v>187126</v>
      </c>
      <c r="O9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91314</v>
      </c>
      <c r="P9" s="2">
        <f>progress_assignment_fd68e454_ba45_4b85_8205_f3bf777ded_16_juli[[#This Row],[Not Draft + Open]]/progress_assignment_fd68e454_ba45_4b85_8205_f3bf777ded_16_juli[[#This Row],[Total]]*100</f>
        <v>48.798136015305197</v>
      </c>
      <c r="Q9" s="4">
        <f>progress_assignment_fd68e454_ba45_4b85_8205_f3bf777ded_16_juli[[#This Row],[Persentase]]-progress_assignment_fd68e454_ba45_4b85_8205_f3bf777ded24__5[[#This Row],[Persentase]]</f>
        <v>0.74322590811912193</v>
      </c>
      <c r="R9">
        <f>RANK(progress_assignment_fd68e454_ba45_4b85_8205_f3bf777ded_16_juli[[#This Row],[Persentase]],progress_assignment_fd68e454_ba45_4b85_8205_f3bf777ded_16_juli[Persentase])</f>
        <v>5</v>
      </c>
    </row>
    <row r="10" spans="1:18" x14ac:dyDescent="0.3">
      <c r="A10">
        <v>7209</v>
      </c>
      <c r="B10">
        <v>31016</v>
      </c>
      <c r="C10">
        <v>21538</v>
      </c>
      <c r="D10">
        <v>9051</v>
      </c>
      <c r="E10">
        <v>1118</v>
      </c>
      <c r="H10">
        <v>2290</v>
      </c>
      <c r="I10">
        <v>121</v>
      </c>
      <c r="J10">
        <v>8</v>
      </c>
      <c r="M10">
        <v>4</v>
      </c>
      <c r="N10">
        <f>SUM(progress_assignment_fd68e454_ba45_4b85_8205_f3bf777ded_16_juli[[#This Row],[OPEN]:[EDITED BY Pengawas]])</f>
        <v>65146</v>
      </c>
      <c r="O10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33012</v>
      </c>
      <c r="P10" s="2">
        <f>progress_assignment_fd68e454_ba45_4b85_8205_f3bf777ded_16_juli[[#This Row],[Not Draft + Open]]/progress_assignment_fd68e454_ba45_4b85_8205_f3bf777ded_16_juli[[#This Row],[Total]]*100</f>
        <v>50.673870997451878</v>
      </c>
      <c r="Q10" s="4">
        <f>progress_assignment_fd68e454_ba45_4b85_8205_f3bf777ded_16_juli[[#This Row],[Persentase]]-progress_assignment_fd68e454_ba45_4b85_8205_f3bf777ded24__5[[#This Row],[Persentase]]</f>
        <v>1.4220237068114869</v>
      </c>
      <c r="R10">
        <f>RANK(progress_assignment_fd68e454_ba45_4b85_8205_f3bf777ded_16_juli[[#This Row],[Persentase]],progress_assignment_fd68e454_ba45_4b85_8205_f3bf777ded_16_juli[Persentase])</f>
        <v>3</v>
      </c>
    </row>
    <row r="11" spans="1:18" x14ac:dyDescent="0.3">
      <c r="A11">
        <v>7210</v>
      </c>
      <c r="B11">
        <v>59239</v>
      </c>
      <c r="C11">
        <v>41726</v>
      </c>
      <c r="D11">
        <v>11979</v>
      </c>
      <c r="E11">
        <v>1841</v>
      </c>
      <c r="F11">
        <v>137</v>
      </c>
      <c r="G11">
        <v>437</v>
      </c>
      <c r="H11">
        <v>1588</v>
      </c>
      <c r="I11">
        <v>81</v>
      </c>
      <c r="J11">
        <v>8</v>
      </c>
      <c r="L11">
        <v>10</v>
      </c>
      <c r="N11">
        <f>SUM(progress_assignment_fd68e454_ba45_4b85_8205_f3bf777ded_16_juli[[#This Row],[OPEN]:[EDITED BY Pengawas]])</f>
        <v>117046</v>
      </c>
      <c r="O11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55966</v>
      </c>
      <c r="P11" s="2">
        <f>progress_assignment_fd68e454_ba45_4b85_8205_f3bf777ded_16_juli[[#This Row],[Not Draft + Open]]/progress_assignment_fd68e454_ba45_4b85_8205_f3bf777ded_16_juli[[#This Row],[Total]]*100</f>
        <v>47.815388821488988</v>
      </c>
      <c r="Q11" s="4">
        <f>progress_assignment_fd68e454_ba45_4b85_8205_f3bf777ded_16_juli[[#This Row],[Persentase]]-progress_assignment_fd68e454_ba45_4b85_8205_f3bf777ded24__5[[#This Row],[Persentase]]</f>
        <v>1.1111282770908488</v>
      </c>
      <c r="R11">
        <f>RANK(progress_assignment_fd68e454_ba45_4b85_8205_f3bf777ded_16_juli[[#This Row],[Persentase]],progress_assignment_fd68e454_ba45_4b85_8205_f3bf777ded_16_juli[Persentase])</f>
        <v>7</v>
      </c>
    </row>
    <row r="12" spans="1:18" x14ac:dyDescent="0.3">
      <c r="A12">
        <v>7211</v>
      </c>
      <c r="B12">
        <v>14819</v>
      </c>
      <c r="C12">
        <v>14712</v>
      </c>
      <c r="D12">
        <v>797</v>
      </c>
      <c r="E12">
        <v>279</v>
      </c>
      <c r="G12">
        <v>8</v>
      </c>
      <c r="H12">
        <v>53</v>
      </c>
      <c r="I12">
        <v>10</v>
      </c>
      <c r="J12">
        <v>24</v>
      </c>
      <c r="M12">
        <v>1</v>
      </c>
      <c r="N12">
        <f>SUM(progress_assignment_fd68e454_ba45_4b85_8205_f3bf777ded_16_juli[[#This Row],[OPEN]:[EDITED BY Pengawas]])</f>
        <v>30703</v>
      </c>
      <c r="O12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15605</v>
      </c>
      <c r="P12" s="2">
        <f>progress_assignment_fd68e454_ba45_4b85_8205_f3bf777ded_16_juli[[#This Row],[Not Draft + Open]]/progress_assignment_fd68e454_ba45_4b85_8205_f3bf777ded_16_juli[[#This Row],[Total]]*100</f>
        <v>50.825652216395788</v>
      </c>
      <c r="Q12" s="4">
        <f>progress_assignment_fd68e454_ba45_4b85_8205_f3bf777ded_16_juli[[#This Row],[Persentase]]-progress_assignment_fd68e454_ba45_4b85_8205_f3bf777ded24__5[[#This Row],[Persentase]]</f>
        <v>0.66580358326471156</v>
      </c>
      <c r="R12">
        <f>RANK(progress_assignment_fd68e454_ba45_4b85_8205_f3bf777ded_16_juli[[#This Row],[Persentase]],progress_assignment_fd68e454_ba45_4b85_8205_f3bf777ded_16_juli[Persentase])</f>
        <v>2</v>
      </c>
    </row>
    <row r="13" spans="1:18" x14ac:dyDescent="0.3">
      <c r="A13">
        <v>7212</v>
      </c>
      <c r="B13">
        <v>26159</v>
      </c>
      <c r="C13">
        <v>11930</v>
      </c>
      <c r="D13">
        <v>7392</v>
      </c>
      <c r="E13">
        <v>772</v>
      </c>
      <c r="F13">
        <v>35</v>
      </c>
      <c r="G13">
        <v>17</v>
      </c>
      <c r="H13">
        <v>392</v>
      </c>
      <c r="I13">
        <v>64</v>
      </c>
      <c r="J13">
        <v>1</v>
      </c>
      <c r="N13">
        <f>SUM(progress_assignment_fd68e454_ba45_4b85_8205_f3bf777ded_16_juli[[#This Row],[OPEN]:[EDITED BY Pengawas]])</f>
        <v>46762</v>
      </c>
      <c r="O13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19831</v>
      </c>
      <c r="P13" s="2">
        <f>progress_assignment_fd68e454_ba45_4b85_8205_f3bf777ded_16_juli[[#This Row],[Not Draft + Open]]/progress_assignment_fd68e454_ba45_4b85_8205_f3bf777ded_16_juli[[#This Row],[Total]]*100</f>
        <v>42.408365767075829</v>
      </c>
      <c r="Q13" s="4">
        <f>progress_assignment_fd68e454_ba45_4b85_8205_f3bf777ded_16_juli[[#This Row],[Persentase]]-progress_assignment_fd68e454_ba45_4b85_8205_f3bf777ded24__5[[#This Row],[Persentase]]</f>
        <v>1.1925694140363348</v>
      </c>
      <c r="R13">
        <f>RANK(progress_assignment_fd68e454_ba45_4b85_8205_f3bf777ded_16_juli[[#This Row],[Persentase]],progress_assignment_fd68e454_ba45_4b85_8205_f3bf777ded_16_juli[Persentase])</f>
        <v>11</v>
      </c>
    </row>
    <row r="14" spans="1:18" x14ac:dyDescent="0.3">
      <c r="A14">
        <v>7271</v>
      </c>
      <c r="B14">
        <v>113234</v>
      </c>
      <c r="C14">
        <v>32508</v>
      </c>
      <c r="D14">
        <v>31940</v>
      </c>
      <c r="E14">
        <v>7728</v>
      </c>
      <c r="F14">
        <v>1789</v>
      </c>
      <c r="G14">
        <v>1570</v>
      </c>
      <c r="H14">
        <v>1296</v>
      </c>
      <c r="I14">
        <v>98</v>
      </c>
      <c r="J14">
        <v>35</v>
      </c>
      <c r="K14">
        <v>6</v>
      </c>
      <c r="N14">
        <f>SUM(progress_assignment_fd68e454_ba45_4b85_8205_f3bf777ded_16_juli[[#This Row],[OPEN]:[EDITED BY Pengawas]])</f>
        <v>190204</v>
      </c>
      <c r="O14">
        <f>progress_assignment_fd68e454_ba45_4b85_8205_f3bf777ded_16_juli[[#This Row],[EDITED BY Pengawas]]+progress_assignment_fd68e454_ba45_4b85_8205_f3bf777ded_16_juli[[#This Row],[REJECTED BY Admin Kabupaten]]+progress_assignment_fd68e454_ba45_4b85_8205_f3bf777ded_16_juli[[#This Row],[REVOKED BY Admin Kabupaten]]+progress_assignment_fd68e454_ba45_4b85_8205_f3bf777ded_16_juli[[#This Row],[SUBMITTED RESPONDENT]]+progress_assignment_fd68e454_ba45_4b85_8205_f3bf777ded_16_juli[[#This Row],[REVOKED BY Pengawas]]+progress_assignment_fd68e454_ba45_4b85_8205_f3bf777ded_16_juli[[#This Row],[REJECTED BY Pengawas]]+progress_assignment_fd68e454_ba45_4b85_8205_f3bf777ded_16_juli[[#This Row],[EDITED BY Admin Kabupaten]]+progress_assignment_fd68e454_ba45_4b85_8205_f3bf777ded_16_juli[[#This Row],[COMPLETED BY Admin Kabupaten]]+progress_assignment_fd68e454_ba45_4b85_8205_f3bf777ded_16_juli[[#This Row],[SUBMITTED BY Pencacah]]+progress_assignment_fd68e454_ba45_4b85_8205_f3bf777ded_16_juli[[#This Row],[APPROVED BY Pengawas]]</f>
        <v>69242</v>
      </c>
      <c r="P14" s="2">
        <f>progress_assignment_fd68e454_ba45_4b85_8205_f3bf777ded_16_juli[[#This Row],[Not Draft + Open]]/progress_assignment_fd68e454_ba45_4b85_8205_f3bf777ded_16_juli[[#This Row],[Total]]*100</f>
        <v>36.404071418056404</v>
      </c>
      <c r="Q14" s="4">
        <f>progress_assignment_fd68e454_ba45_4b85_8205_f3bf777ded_16_juli[[#This Row],[Persentase]]-progress_assignment_fd68e454_ba45_4b85_8205_f3bf777ded24__5[[#This Row],[Persentase]]</f>
        <v>1.3137814147884654</v>
      </c>
      <c r="R14">
        <f>RANK(progress_assignment_fd68e454_ba45_4b85_8205_f3bf777ded_16_juli[[#This Row],[Persentase]],progress_assignment_fd68e454_ba45_4b85_8205_f3bf777ded_16_juli[Persentase])</f>
        <v>13</v>
      </c>
    </row>
    <row r="15" spans="1:18" x14ac:dyDescent="0.3">
      <c r="P15" s="2"/>
    </row>
    <row r="16" spans="1:18" x14ac:dyDescent="0.3">
      <c r="A16" s="5">
        <v>7200</v>
      </c>
      <c r="B16" s="5">
        <f>SUM(progress_assignment_fd68e454_ba45_4b85_8205_f3bf777ded_16_juli[OPEN])</f>
        <v>664766</v>
      </c>
      <c r="C16" s="5">
        <f>SUM(progress_assignment_fd68e454_ba45_4b85_8205_f3bf777ded_16_juli[APPROVED BY Pengawas])</f>
        <v>376359</v>
      </c>
      <c r="D16" s="5">
        <f>SUM(progress_assignment_fd68e454_ba45_4b85_8205_f3bf777ded_16_juli[SUBMITTED BY Pencacah])</f>
        <v>191839</v>
      </c>
      <c r="E16" s="5">
        <f>SUM(progress_assignment_fd68e454_ba45_4b85_8205_f3bf777ded_16_juli[DRAFT])</f>
        <v>34427</v>
      </c>
      <c r="F16" s="5">
        <f>SUM(progress_assignment_fd68e454_ba45_4b85_8205_f3bf777ded_16_juli[COMPLETED BY Admin Kabupaten])</f>
        <v>4488</v>
      </c>
      <c r="G16" s="5">
        <f>SUM(progress_assignment_fd68e454_ba45_4b85_8205_f3bf777ded_16_juli[EDITED BY Admin Kabupaten])</f>
        <v>4085</v>
      </c>
      <c r="H16" s="5">
        <f>SUM(progress_assignment_fd68e454_ba45_4b85_8205_f3bf777ded_16_juli[REJECTED BY Pengawas])</f>
        <v>18357</v>
      </c>
      <c r="I16" s="5">
        <f>SUM(progress_assignment_fd68e454_ba45_4b85_8205_f3bf777ded_16_juli[REVOKED BY Pengawas])</f>
        <v>1162</v>
      </c>
      <c r="J16" s="5">
        <f>SUM(progress_assignment_fd68e454_ba45_4b85_8205_f3bf777ded_16_juli[SUBMITTED RESPONDENT])</f>
        <v>268</v>
      </c>
      <c r="K16" s="5">
        <f>SUM(progress_assignment_fd68e454_ba45_4b85_8205_f3bf777ded_16_juli[REVOKED BY Admin Kabupaten])</f>
        <v>6</v>
      </c>
      <c r="L16" s="5">
        <f>SUM(progress_assignment_fd68e454_ba45_4b85_8205_f3bf777ded_16_juli[REJECTED BY Admin Kabupaten])</f>
        <v>61</v>
      </c>
      <c r="M16" s="5">
        <f>SUM(progress_assignment_fd68e454_ba45_4b85_8205_f3bf777ded_16_juli[EDITED BY Pengawas])</f>
        <v>15</v>
      </c>
      <c r="N16" s="5">
        <f>SUM(progress_assignment_fd68e454_ba45_4b85_8205_f3bf777ded_16_juli[Total])</f>
        <v>1295833</v>
      </c>
      <c r="O16" s="5">
        <f>SUM(progress_assignment_fd68e454_ba45_4b85_8205_f3bf777ded_16_juli[Not Draft + Open])</f>
        <v>596640</v>
      </c>
      <c r="P16" s="6">
        <f>O16/N16*100</f>
        <v>46.042970043207724</v>
      </c>
      <c r="Q16" s="7">
        <f>P16-'15 Juli'!P16</f>
        <v>0.99292939654287693</v>
      </c>
      <c r="R16" s="5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5B5F3-FB22-4A1E-A2B3-084677C12474}">
  <dimension ref="A1:R16"/>
  <sheetViews>
    <sheetView topLeftCell="B1" workbookViewId="0">
      <selection activeCell="O34" sqref="O34"/>
    </sheetView>
  </sheetViews>
  <sheetFormatPr defaultRowHeight="14.4" x14ac:dyDescent="0.3"/>
  <cols>
    <col min="1" max="1" width="10" bestFit="1" customWidth="1"/>
    <col min="2" max="2" width="8" customWidth="1"/>
    <col min="3" max="3" width="24.33203125" hidden="1" customWidth="1"/>
    <col min="4" max="4" width="24.6640625" hidden="1" customWidth="1"/>
    <col min="5" max="5" width="8.6640625" customWidth="1"/>
    <col min="6" max="6" width="32.44140625" hidden="1" customWidth="1"/>
    <col min="7" max="7" width="27.88671875" hidden="1" customWidth="1"/>
    <col min="8" max="8" width="23" customWidth="1"/>
    <col min="9" max="9" width="22.88671875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6</v>
      </c>
      <c r="H1" t="s">
        <v>5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s="1" t="s">
        <v>14</v>
      </c>
      <c r="Q1" s="1" t="s">
        <v>16</v>
      </c>
      <c r="R1" t="s">
        <v>17</v>
      </c>
    </row>
    <row r="2" spans="1:18" x14ac:dyDescent="0.3">
      <c r="A2">
        <v>7201</v>
      </c>
      <c r="B2">
        <v>21927</v>
      </c>
      <c r="C2">
        <v>14963</v>
      </c>
      <c r="D2">
        <v>10149</v>
      </c>
      <c r="E2">
        <v>1723</v>
      </c>
      <c r="F2">
        <v>4</v>
      </c>
      <c r="G2">
        <v>176</v>
      </c>
      <c r="H2">
        <v>1101</v>
      </c>
      <c r="I2">
        <v>66</v>
      </c>
      <c r="J2">
        <v>90</v>
      </c>
      <c r="M2">
        <v>1</v>
      </c>
      <c r="N2">
        <f>SUM(progress_assignment_fd68e454_ba45_4b85_8205_f3bf777ded24_17_juli[[#This Row],[OPEN]:[EDITED BY Pengawas]])</f>
        <v>50200</v>
      </c>
      <c r="O2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26550</v>
      </c>
      <c r="P2" s="2">
        <f>progress_assignment_fd68e454_ba45_4b85_8205_f3bf777ded24_17_juli[[#This Row],[Not Draft + Open]]/progress_assignment_fd68e454_ba45_4b85_8205_f3bf777ded24_17_juli[[#This Row],[Total]]*100</f>
        <v>52.888446215139439</v>
      </c>
      <c r="Q2" s="4">
        <f>progress_assignment_fd68e454_ba45_4b85_8205_f3bf777ded24_17_juli[[#This Row],[Persentase]]-progress_assignment_fd68e454_ba45_4b85_8205_f3bf777ded_16_juli[[#This Row],[Persentase]]</f>
        <v>0.55813218138180787</v>
      </c>
      <c r="R2">
        <f>RANK(progress_assignment_fd68e454_ba45_4b85_8205_f3bf777ded24_17_juli[[#This Row],[Persentase]],progress_assignment_fd68e454_ba45_4b85_8205_f3bf777ded24_17_juli[Persentase])</f>
        <v>1</v>
      </c>
    </row>
    <row r="3" spans="1:18" x14ac:dyDescent="0.3">
      <c r="A3">
        <v>7202</v>
      </c>
      <c r="B3">
        <v>77644</v>
      </c>
      <c r="C3">
        <v>30694</v>
      </c>
      <c r="D3">
        <v>42486</v>
      </c>
      <c r="E3">
        <v>4375</v>
      </c>
      <c r="F3">
        <v>13</v>
      </c>
      <c r="G3">
        <v>37</v>
      </c>
      <c r="H3">
        <v>3496</v>
      </c>
      <c r="I3">
        <v>132</v>
      </c>
      <c r="J3">
        <v>4</v>
      </c>
      <c r="M3">
        <v>1</v>
      </c>
      <c r="N3">
        <f>SUM(progress_assignment_fd68e454_ba45_4b85_8205_f3bf777ded24_17_juli[[#This Row],[OPEN]:[EDITED BY Pengawas]])</f>
        <v>158882</v>
      </c>
      <c r="O3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76863</v>
      </c>
      <c r="P3" s="2">
        <f>progress_assignment_fd68e454_ba45_4b85_8205_f3bf777ded24_17_juli[[#This Row],[Not Draft + Open]]/progress_assignment_fd68e454_ba45_4b85_8205_f3bf777ded24_17_juli[[#This Row],[Total]]*100</f>
        <v>48.377412167520554</v>
      </c>
      <c r="Q3" s="4">
        <f>progress_assignment_fd68e454_ba45_4b85_8205_f3bf777ded24_17_juli[[#This Row],[Persentase]]-progress_assignment_fd68e454_ba45_4b85_8205_f3bf777ded_16_juli[[#This Row],[Persentase]]</f>
        <v>1.0190276351941492</v>
      </c>
      <c r="R3">
        <f>RANK(progress_assignment_fd68e454_ba45_4b85_8205_f3bf777ded24_17_juli[[#This Row],[Persentase]],progress_assignment_fd68e454_ba45_4b85_8205_f3bf777ded24_17_juli[Persentase])</f>
        <v>9</v>
      </c>
    </row>
    <row r="4" spans="1:18" x14ac:dyDescent="0.3">
      <c r="A4">
        <v>7203</v>
      </c>
      <c r="B4">
        <v>34446</v>
      </c>
      <c r="C4">
        <v>11293</v>
      </c>
      <c r="D4">
        <v>12426</v>
      </c>
      <c r="E4">
        <v>2422</v>
      </c>
      <c r="F4">
        <v>69</v>
      </c>
      <c r="G4">
        <v>32</v>
      </c>
      <c r="H4">
        <v>278</v>
      </c>
      <c r="I4">
        <v>28</v>
      </c>
      <c r="L4">
        <v>1</v>
      </c>
      <c r="N4">
        <f>SUM(progress_assignment_fd68e454_ba45_4b85_8205_f3bf777ded24_17_juli[[#This Row],[OPEN]:[EDITED BY Pengawas]])</f>
        <v>60995</v>
      </c>
      <c r="O4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24127</v>
      </c>
      <c r="P4" s="2">
        <f>progress_assignment_fd68e454_ba45_4b85_8205_f3bf777ded24_17_juli[[#This Row],[Not Draft + Open]]/progress_assignment_fd68e454_ba45_4b85_8205_f3bf777ded24_17_juli[[#This Row],[Total]]*100</f>
        <v>39.555701286990733</v>
      </c>
      <c r="Q4" s="4">
        <f>progress_assignment_fd68e454_ba45_4b85_8205_f3bf777ded24_17_juli[[#This Row],[Persentase]]-progress_assignment_fd68e454_ba45_4b85_8205_f3bf777ded_16_juli[[#This Row],[Persentase]]</f>
        <v>1.174913963395781</v>
      </c>
      <c r="R4">
        <f>RANK(progress_assignment_fd68e454_ba45_4b85_8205_f3bf777ded24_17_juli[[#This Row],[Persentase]],progress_assignment_fd68e454_ba45_4b85_8205_f3bf777ded24_17_juli[Persentase])</f>
        <v>12</v>
      </c>
    </row>
    <row r="5" spans="1:18" x14ac:dyDescent="0.3">
      <c r="A5">
        <v>7204</v>
      </c>
      <c r="B5">
        <v>55372</v>
      </c>
      <c r="C5">
        <v>37073</v>
      </c>
      <c r="D5">
        <v>16662</v>
      </c>
      <c r="E5">
        <v>3443</v>
      </c>
      <c r="F5">
        <v>23</v>
      </c>
      <c r="G5">
        <v>473</v>
      </c>
      <c r="H5">
        <v>2226</v>
      </c>
      <c r="I5">
        <v>198</v>
      </c>
      <c r="J5">
        <v>47</v>
      </c>
      <c r="L5">
        <v>3</v>
      </c>
      <c r="N5">
        <f>SUM(progress_assignment_fd68e454_ba45_4b85_8205_f3bf777ded24_17_juli[[#This Row],[OPEN]:[EDITED BY Pengawas]])</f>
        <v>115520</v>
      </c>
      <c r="O5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56705</v>
      </c>
      <c r="P5" s="2">
        <f>progress_assignment_fd68e454_ba45_4b85_8205_f3bf777ded24_17_juli[[#This Row],[Not Draft + Open]]/progress_assignment_fd68e454_ba45_4b85_8205_f3bf777ded24_17_juli[[#This Row],[Total]]*100</f>
        <v>49.086738227146817</v>
      </c>
      <c r="Q5" s="4">
        <f>progress_assignment_fd68e454_ba45_4b85_8205_f3bf777ded24_17_juli[[#This Row],[Persentase]]-progress_assignment_fd68e454_ba45_4b85_8205_f3bf777ded_16_juli[[#This Row],[Persentase]]</f>
        <v>0.97344884477346483</v>
      </c>
      <c r="R5">
        <f>RANK(progress_assignment_fd68e454_ba45_4b85_8205_f3bf777ded24_17_juli[[#This Row],[Persentase]],progress_assignment_fd68e454_ba45_4b85_8205_f3bf777ded24_17_juli[Persentase])</f>
        <v>6</v>
      </c>
    </row>
    <row r="6" spans="1:18" x14ac:dyDescent="0.3">
      <c r="A6">
        <v>7205</v>
      </c>
      <c r="B6">
        <v>57884</v>
      </c>
      <c r="C6">
        <v>51012</v>
      </c>
      <c r="D6">
        <v>7929</v>
      </c>
      <c r="E6">
        <v>2305</v>
      </c>
      <c r="F6">
        <v>956</v>
      </c>
      <c r="G6">
        <v>630</v>
      </c>
      <c r="H6">
        <v>744</v>
      </c>
      <c r="I6">
        <v>150</v>
      </c>
      <c r="J6">
        <v>5</v>
      </c>
      <c r="L6">
        <v>33</v>
      </c>
      <c r="N6">
        <f>SUM(progress_assignment_fd68e454_ba45_4b85_8205_f3bf777ded24_17_juli[[#This Row],[OPEN]:[EDITED BY Pengawas]])</f>
        <v>121648</v>
      </c>
      <c r="O6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61459</v>
      </c>
      <c r="P6" s="2">
        <f>progress_assignment_fd68e454_ba45_4b85_8205_f3bf777ded24_17_juli[[#This Row],[Not Draft + Open]]/progress_assignment_fd68e454_ba45_4b85_8205_f3bf777ded24_17_juli[[#This Row],[Total]]*100</f>
        <v>50.521997895567537</v>
      </c>
      <c r="Q6" s="4">
        <f>progress_assignment_fd68e454_ba45_4b85_8205_f3bf777ded24_17_juli[[#This Row],[Persentase]]-progress_assignment_fd68e454_ba45_4b85_8205_f3bf777ded_16_juli[[#This Row],[Persentase]]</f>
        <v>1.3735010339884184</v>
      </c>
      <c r="R6">
        <f>RANK(progress_assignment_fd68e454_ba45_4b85_8205_f3bf777ded24_17_juli[[#This Row],[Persentase]],progress_assignment_fd68e454_ba45_4b85_8205_f3bf777ded24_17_juli[Persentase])</f>
        <v>4</v>
      </c>
    </row>
    <row r="7" spans="1:18" x14ac:dyDescent="0.3">
      <c r="A7">
        <v>7206</v>
      </c>
      <c r="B7">
        <v>43623</v>
      </c>
      <c r="C7">
        <v>36177</v>
      </c>
      <c r="D7">
        <v>5747</v>
      </c>
      <c r="E7">
        <v>2370</v>
      </c>
      <c r="G7">
        <v>526</v>
      </c>
      <c r="H7">
        <v>1049</v>
      </c>
      <c r="I7">
        <v>97</v>
      </c>
      <c r="M7">
        <v>1</v>
      </c>
      <c r="N7">
        <f>SUM(progress_assignment_fd68e454_ba45_4b85_8205_f3bf777ded24_17_juli[[#This Row],[OPEN]:[EDITED BY Pengawas]])</f>
        <v>89590</v>
      </c>
      <c r="O7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43597</v>
      </c>
      <c r="P7" s="2">
        <f>progress_assignment_fd68e454_ba45_4b85_8205_f3bf777ded24_17_juli[[#This Row],[Not Draft + Open]]/progress_assignment_fd68e454_ba45_4b85_8205_f3bf777ded24_17_juli[[#This Row],[Total]]*100</f>
        <v>48.662797187186072</v>
      </c>
      <c r="Q7" s="4">
        <f>progress_assignment_fd68e454_ba45_4b85_8205_f3bf777ded24_17_juli[[#This Row],[Persentase]]-progress_assignment_fd68e454_ba45_4b85_8205_f3bf777ded_16_juli[[#This Row],[Persentase]]</f>
        <v>1.024181995498509</v>
      </c>
      <c r="R7">
        <f>RANK(progress_assignment_fd68e454_ba45_4b85_8205_f3bf777ded24_17_juli[[#This Row],[Persentase]],progress_assignment_fd68e454_ba45_4b85_8205_f3bf777ded24_17_juli[Persentase])</f>
        <v>8</v>
      </c>
    </row>
    <row r="8" spans="1:18" x14ac:dyDescent="0.3">
      <c r="A8">
        <v>7207</v>
      </c>
      <c r="B8">
        <v>31360</v>
      </c>
      <c r="C8">
        <v>22127</v>
      </c>
      <c r="D8">
        <v>7091</v>
      </c>
      <c r="E8">
        <v>2544</v>
      </c>
      <c r="F8">
        <v>1</v>
      </c>
      <c r="G8">
        <v>119</v>
      </c>
      <c r="H8">
        <v>944</v>
      </c>
      <c r="I8">
        <v>53</v>
      </c>
      <c r="J8">
        <v>46</v>
      </c>
      <c r="L8">
        <v>1</v>
      </c>
      <c r="N8">
        <f>SUM(progress_assignment_fd68e454_ba45_4b85_8205_f3bf777ded24_17_juli[[#This Row],[OPEN]:[EDITED BY Pengawas]])</f>
        <v>64286</v>
      </c>
      <c r="O8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30382</v>
      </c>
      <c r="P8" s="2">
        <f>progress_assignment_fd68e454_ba45_4b85_8205_f3bf777ded24_17_juli[[#This Row],[Not Draft + Open]]/progress_assignment_fd68e454_ba45_4b85_8205_f3bf777ded24_17_juli[[#This Row],[Total]]*100</f>
        <v>47.260678841427371</v>
      </c>
      <c r="Q8" s="4">
        <f>progress_assignment_fd68e454_ba45_4b85_8205_f3bf777ded24_17_juli[[#This Row],[Persentase]]-progress_assignment_fd68e454_ba45_4b85_8205_f3bf777ded_16_juli[[#This Row],[Persentase]]</f>
        <v>0.9784235448502514</v>
      </c>
      <c r="R8">
        <f>RANK(progress_assignment_fd68e454_ba45_4b85_8205_f3bf777ded24_17_juli[[#This Row],[Persentase]],progress_assignment_fd68e454_ba45_4b85_8205_f3bf777ded24_17_juli[Persentase])</f>
        <v>10</v>
      </c>
    </row>
    <row r="9" spans="1:18" x14ac:dyDescent="0.3">
      <c r="A9">
        <v>7208</v>
      </c>
      <c r="B9">
        <v>90213</v>
      </c>
      <c r="C9">
        <v>61567</v>
      </c>
      <c r="D9">
        <v>25857</v>
      </c>
      <c r="E9">
        <v>4161</v>
      </c>
      <c r="F9">
        <v>1661</v>
      </c>
      <c r="G9">
        <v>87</v>
      </c>
      <c r="H9">
        <v>3847</v>
      </c>
      <c r="I9">
        <v>173</v>
      </c>
      <c r="L9">
        <v>13</v>
      </c>
      <c r="M9">
        <v>6</v>
      </c>
      <c r="N9">
        <f>SUM(progress_assignment_fd68e454_ba45_4b85_8205_f3bf777ded24_17_juli[[#This Row],[OPEN]:[EDITED BY Pengawas]])</f>
        <v>187585</v>
      </c>
      <c r="O9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93211</v>
      </c>
      <c r="P9" s="2">
        <f>progress_assignment_fd68e454_ba45_4b85_8205_f3bf777ded24_17_juli[[#This Row],[Not Draft + Open]]/progress_assignment_fd68e454_ba45_4b85_8205_f3bf777ded24_17_juli[[#This Row],[Total]]*100</f>
        <v>49.690007196737476</v>
      </c>
      <c r="Q9" s="4">
        <f>progress_assignment_fd68e454_ba45_4b85_8205_f3bf777ded24_17_juli[[#This Row],[Persentase]]-progress_assignment_fd68e454_ba45_4b85_8205_f3bf777ded_16_juli[[#This Row],[Persentase]]</f>
        <v>0.89187118143227906</v>
      </c>
      <c r="R9">
        <f>RANK(progress_assignment_fd68e454_ba45_4b85_8205_f3bf777ded24_17_juli[[#This Row],[Persentase]],progress_assignment_fd68e454_ba45_4b85_8205_f3bf777ded24_17_juli[Persentase])</f>
        <v>5</v>
      </c>
    </row>
    <row r="10" spans="1:18" x14ac:dyDescent="0.3">
      <c r="A10">
        <v>7209</v>
      </c>
      <c r="B10">
        <v>30358</v>
      </c>
      <c r="C10">
        <v>22657</v>
      </c>
      <c r="D10">
        <v>8600</v>
      </c>
      <c r="E10">
        <v>1161</v>
      </c>
      <c r="H10">
        <v>2398</v>
      </c>
      <c r="I10">
        <v>119</v>
      </c>
      <c r="J10">
        <v>8</v>
      </c>
      <c r="M10">
        <v>2</v>
      </c>
      <c r="N10">
        <f>SUM(progress_assignment_fd68e454_ba45_4b85_8205_f3bf777ded24_17_juli[[#This Row],[OPEN]:[EDITED BY Pengawas]])</f>
        <v>65303</v>
      </c>
      <c r="O10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33784</v>
      </c>
      <c r="P10" s="2">
        <f>progress_assignment_fd68e454_ba45_4b85_8205_f3bf777ded24_17_juli[[#This Row],[Not Draft + Open]]/progress_assignment_fd68e454_ba45_4b85_8205_f3bf777ded24_17_juli[[#This Row],[Total]]*100</f>
        <v>51.734223542563129</v>
      </c>
      <c r="Q10" s="4">
        <f>progress_assignment_fd68e454_ba45_4b85_8205_f3bf777ded24_17_juli[[#This Row],[Persentase]]-progress_assignment_fd68e454_ba45_4b85_8205_f3bf777ded_16_juli[[#This Row],[Persentase]]</f>
        <v>1.0603525451112503</v>
      </c>
      <c r="R10">
        <f>RANK(progress_assignment_fd68e454_ba45_4b85_8205_f3bf777ded24_17_juli[[#This Row],[Persentase]],progress_assignment_fd68e454_ba45_4b85_8205_f3bf777ded24_17_juli[Persentase])</f>
        <v>3</v>
      </c>
    </row>
    <row r="11" spans="1:18" x14ac:dyDescent="0.3">
      <c r="A11">
        <v>7210</v>
      </c>
      <c r="B11">
        <v>58171</v>
      </c>
      <c r="C11">
        <v>44874</v>
      </c>
      <c r="D11">
        <v>10076</v>
      </c>
      <c r="E11">
        <v>1865</v>
      </c>
      <c r="F11">
        <v>137</v>
      </c>
      <c r="G11">
        <v>437</v>
      </c>
      <c r="H11">
        <v>1632</v>
      </c>
      <c r="I11">
        <v>84</v>
      </c>
      <c r="J11">
        <v>8</v>
      </c>
      <c r="L11">
        <v>10</v>
      </c>
      <c r="N11">
        <f>SUM(progress_assignment_fd68e454_ba45_4b85_8205_f3bf777ded24_17_juli[[#This Row],[OPEN]:[EDITED BY Pengawas]])</f>
        <v>117294</v>
      </c>
      <c r="O11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57258</v>
      </c>
      <c r="P11" s="2">
        <f>progress_assignment_fd68e454_ba45_4b85_8205_f3bf777ded24_17_juli[[#This Row],[Not Draft + Open]]/progress_assignment_fd68e454_ba45_4b85_8205_f3bf777ded24_17_juli[[#This Row],[Total]]*100</f>
        <v>48.815796204409438</v>
      </c>
      <c r="Q11" s="4">
        <f>progress_assignment_fd68e454_ba45_4b85_8205_f3bf777ded24_17_juli[[#This Row],[Persentase]]-progress_assignment_fd68e454_ba45_4b85_8205_f3bf777ded_16_juli[[#This Row],[Persentase]]</f>
        <v>1.0004073829204501</v>
      </c>
      <c r="R11">
        <f>RANK(progress_assignment_fd68e454_ba45_4b85_8205_f3bf777ded24_17_juli[[#This Row],[Persentase]],progress_assignment_fd68e454_ba45_4b85_8205_f3bf777ded24_17_juli[Persentase])</f>
        <v>7</v>
      </c>
    </row>
    <row r="12" spans="1:18" x14ac:dyDescent="0.3">
      <c r="A12">
        <v>7211</v>
      </c>
      <c r="B12">
        <v>14539</v>
      </c>
      <c r="C12">
        <v>14982</v>
      </c>
      <c r="D12">
        <v>909</v>
      </c>
      <c r="E12">
        <v>252</v>
      </c>
      <c r="G12">
        <v>8</v>
      </c>
      <c r="H12">
        <v>61</v>
      </c>
      <c r="I12">
        <v>11</v>
      </c>
      <c r="J12">
        <v>24</v>
      </c>
      <c r="M12">
        <v>1</v>
      </c>
      <c r="N12">
        <f>SUM(progress_assignment_fd68e454_ba45_4b85_8205_f3bf777ded24_17_juli[[#This Row],[OPEN]:[EDITED BY Pengawas]])</f>
        <v>30787</v>
      </c>
      <c r="O12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15996</v>
      </c>
      <c r="P12" s="2">
        <f>progress_assignment_fd68e454_ba45_4b85_8205_f3bf777ded24_17_juli[[#This Row],[Not Draft + Open]]/progress_assignment_fd68e454_ba45_4b85_8205_f3bf777ded24_17_juli[[#This Row],[Total]]*100</f>
        <v>51.956994835482504</v>
      </c>
      <c r="Q12" s="4">
        <f>progress_assignment_fd68e454_ba45_4b85_8205_f3bf777ded24_17_juli[[#This Row],[Persentase]]-progress_assignment_fd68e454_ba45_4b85_8205_f3bf777ded_16_juli[[#This Row],[Persentase]]</f>
        <v>1.1313426190867162</v>
      </c>
      <c r="R12">
        <f>RANK(progress_assignment_fd68e454_ba45_4b85_8205_f3bf777ded24_17_juli[[#This Row],[Persentase]],progress_assignment_fd68e454_ba45_4b85_8205_f3bf777ded24_17_juli[Persentase])</f>
        <v>2</v>
      </c>
    </row>
    <row r="13" spans="1:18" x14ac:dyDescent="0.3">
      <c r="A13">
        <v>7212</v>
      </c>
      <c r="B13">
        <v>25715</v>
      </c>
      <c r="C13">
        <v>12283</v>
      </c>
      <c r="D13">
        <v>7657</v>
      </c>
      <c r="E13">
        <v>770</v>
      </c>
      <c r="F13">
        <v>35</v>
      </c>
      <c r="G13">
        <v>17</v>
      </c>
      <c r="H13">
        <v>328</v>
      </c>
      <c r="I13">
        <v>63</v>
      </c>
      <c r="J13">
        <v>1</v>
      </c>
      <c r="N13">
        <f>SUM(progress_assignment_fd68e454_ba45_4b85_8205_f3bf777ded24_17_juli[[#This Row],[OPEN]:[EDITED BY Pengawas]])</f>
        <v>46869</v>
      </c>
      <c r="O13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20384</v>
      </c>
      <c r="P13" s="2">
        <f>progress_assignment_fd68e454_ba45_4b85_8205_f3bf777ded24_17_juli[[#This Row],[Not Draft + Open]]/progress_assignment_fd68e454_ba45_4b85_8205_f3bf777ded24_17_juli[[#This Row],[Total]]*100</f>
        <v>43.491433570163643</v>
      </c>
      <c r="Q13" s="4">
        <f>progress_assignment_fd68e454_ba45_4b85_8205_f3bf777ded24_17_juli[[#This Row],[Persentase]]-progress_assignment_fd68e454_ba45_4b85_8205_f3bf777ded_16_juli[[#This Row],[Persentase]]</f>
        <v>1.0830678030878147</v>
      </c>
      <c r="R13">
        <f>RANK(progress_assignment_fd68e454_ba45_4b85_8205_f3bf777ded24_17_juli[[#This Row],[Persentase]],progress_assignment_fd68e454_ba45_4b85_8205_f3bf777ded24_17_juli[Persentase])</f>
        <v>11</v>
      </c>
    </row>
    <row r="14" spans="1:18" x14ac:dyDescent="0.3">
      <c r="A14">
        <v>7271</v>
      </c>
      <c r="B14">
        <v>110895</v>
      </c>
      <c r="C14">
        <v>37752</v>
      </c>
      <c r="D14">
        <v>29238</v>
      </c>
      <c r="E14">
        <v>7662</v>
      </c>
      <c r="F14">
        <v>2032</v>
      </c>
      <c r="G14">
        <v>1676</v>
      </c>
      <c r="H14">
        <v>1475</v>
      </c>
      <c r="I14">
        <v>122</v>
      </c>
      <c r="J14">
        <v>35</v>
      </c>
      <c r="K14">
        <v>6</v>
      </c>
      <c r="N14">
        <f>SUM(progress_assignment_fd68e454_ba45_4b85_8205_f3bf777ded24_17_juli[[#This Row],[OPEN]:[EDITED BY Pengawas]])</f>
        <v>190893</v>
      </c>
      <c r="O14">
        <f>progress_assignment_fd68e454_ba45_4b85_8205_f3bf777ded24_17_juli[[#This Row],[EDITED BY Pengawas]]+progress_assignment_fd68e454_ba45_4b85_8205_f3bf777ded24_17_juli[[#This Row],[REJECTED BY Admin Kabupaten]]+progress_assignment_fd68e454_ba45_4b85_8205_f3bf777ded24_17_juli[[#This Row],[REVOKED BY Admin Kabupaten]]+progress_assignment_fd68e454_ba45_4b85_8205_f3bf777ded24_17_juli[[#This Row],[SUBMITTED RESPONDENT]]+progress_assignment_fd68e454_ba45_4b85_8205_f3bf777ded24_17_juli[[#This Row],[REVOKED BY Pengawas]]+progress_assignment_fd68e454_ba45_4b85_8205_f3bf777ded24_17_juli[[#This Row],[REJECTED BY Pengawas]]+progress_assignment_fd68e454_ba45_4b85_8205_f3bf777ded24_17_juli[[#This Row],[EDITED BY Admin Kabupaten]]+progress_assignment_fd68e454_ba45_4b85_8205_f3bf777ded24_17_juli[[#This Row],[COMPLETED BY Admin Kabupaten]]+progress_assignment_fd68e454_ba45_4b85_8205_f3bf777ded24_17_juli[[#This Row],[SUBMITTED BY Pencacah]]+progress_assignment_fd68e454_ba45_4b85_8205_f3bf777ded24_17_juli[[#This Row],[APPROVED BY Pengawas]]</f>
        <v>72336</v>
      </c>
      <c r="P14" s="2">
        <f>progress_assignment_fd68e454_ba45_4b85_8205_f3bf777ded24_17_juli[[#This Row],[Not Draft + Open]]/progress_assignment_fd68e454_ba45_4b85_8205_f3bf777ded24_17_juli[[#This Row],[Total]]*100</f>
        <v>37.893479593280006</v>
      </c>
      <c r="Q14" s="4">
        <f>progress_assignment_fd68e454_ba45_4b85_8205_f3bf777ded24_17_juli[[#This Row],[Persentase]]-progress_assignment_fd68e454_ba45_4b85_8205_f3bf777ded_16_juli[[#This Row],[Persentase]]</f>
        <v>1.4894081752236019</v>
      </c>
      <c r="R14">
        <f>RANK(progress_assignment_fd68e454_ba45_4b85_8205_f3bf777ded24_17_juli[[#This Row],[Persentase]],progress_assignment_fd68e454_ba45_4b85_8205_f3bf777ded24_17_juli[Persentase])</f>
        <v>13</v>
      </c>
    </row>
    <row r="16" spans="1:18" x14ac:dyDescent="0.3">
      <c r="A16" s="5">
        <v>7200</v>
      </c>
      <c r="B16" s="5">
        <f>SUM(progress_assignment_fd68e454_ba45_4b85_8205_f3bf777ded24_17_juli[OPEN])</f>
        <v>652147</v>
      </c>
      <c r="C16" s="5">
        <f>SUM(progress_assignment_fd68e454_ba45_4b85_8205_f3bf777ded24_17_juli[APPROVED BY Pengawas])</f>
        <v>397454</v>
      </c>
      <c r="D16" s="5">
        <f>SUM(progress_assignment_fd68e454_ba45_4b85_8205_f3bf777ded24_17_juli[SUBMITTED BY Pencacah])</f>
        <v>184827</v>
      </c>
      <c r="E16" s="5">
        <f>SUM(progress_assignment_fd68e454_ba45_4b85_8205_f3bf777ded24_17_juli[DRAFT])</f>
        <v>35053</v>
      </c>
      <c r="F16" s="5">
        <f>SUM(progress_assignment_fd68e454_ba45_4b85_8205_f3bf777ded24_17_juli[COMPLETED BY Admin Kabupaten])</f>
        <v>4931</v>
      </c>
      <c r="G16" s="5">
        <f>SUM(progress_assignment_fd68e454_ba45_4b85_8205_f3bf777ded24_17_juli[EDITED BY Admin Kabupaten])</f>
        <v>4218</v>
      </c>
      <c r="H16" s="5">
        <f>SUM(progress_assignment_fd68e454_ba45_4b85_8205_f3bf777ded24_17_juli[REJECTED BY Pengawas])</f>
        <v>19579</v>
      </c>
      <c r="I16" s="5">
        <f>SUM(progress_assignment_fd68e454_ba45_4b85_8205_f3bf777ded24_17_juli[REVOKED BY Pengawas])</f>
        <v>1296</v>
      </c>
      <c r="J16" s="5">
        <f>SUM(progress_assignment_fd68e454_ba45_4b85_8205_f3bf777ded24_17_juli[SUBMITTED RESPONDENT])</f>
        <v>268</v>
      </c>
      <c r="K16" s="5">
        <f>SUM(progress_assignment_fd68e454_ba45_4b85_8205_f3bf777ded24_17_juli[REVOKED BY Admin Kabupaten])</f>
        <v>6</v>
      </c>
      <c r="L16" s="5">
        <f>SUM(progress_assignment_fd68e454_ba45_4b85_8205_f3bf777ded24_17_juli[REJECTED BY Admin Kabupaten])</f>
        <v>61</v>
      </c>
      <c r="M16" s="5">
        <f>SUM(progress_assignment_fd68e454_ba45_4b85_8205_f3bf777ded24_17_juli[EDITED BY Pengawas])</f>
        <v>12</v>
      </c>
      <c r="N16" s="5">
        <f>SUM(progress_assignment_fd68e454_ba45_4b85_8205_f3bf777ded24_17_juli[Total])</f>
        <v>1299852</v>
      </c>
      <c r="O16" s="5">
        <f>SUM(progress_assignment_fd68e454_ba45_4b85_8205_f3bf777ded24_17_juli[Not Draft + Open])</f>
        <v>612652</v>
      </c>
      <c r="P16" s="6">
        <f>O16/N16*100</f>
        <v>47.132442770407707</v>
      </c>
      <c r="Q16" s="7">
        <f>P16-'16 Juli'!P16</f>
        <v>1.0894727271999827</v>
      </c>
      <c r="R16" s="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63DAE-76C1-4983-BBDD-BCABF3BE6202}">
  <dimension ref="A1:U16"/>
  <sheetViews>
    <sheetView workbookViewId="0">
      <selection activeCell="N1" sqref="N1:R1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customWidth="1"/>
    <col min="6" max="6" width="32.44140625" hidden="1" customWidth="1"/>
    <col min="7" max="7" width="23" customWidth="1"/>
    <col min="8" max="8" width="27.88671875" hidden="1" customWidth="1"/>
    <col min="9" max="9" width="22.88671875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  <col min="19" max="19" width="12.77734375" bestFit="1" customWidth="1"/>
    <col min="20" max="21" width="15.664062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s="1" t="s">
        <v>14</v>
      </c>
      <c r="Q1" s="1" t="s">
        <v>16</v>
      </c>
      <c r="R1" t="s">
        <v>17</v>
      </c>
      <c r="S1" t="s">
        <v>19</v>
      </c>
      <c r="T1" t="s">
        <v>20</v>
      </c>
      <c r="U1" t="s">
        <v>21</v>
      </c>
    </row>
    <row r="2" spans="1:21" x14ac:dyDescent="0.3">
      <c r="A2">
        <v>7201</v>
      </c>
      <c r="B2">
        <v>21538</v>
      </c>
      <c r="C2">
        <v>15277</v>
      </c>
      <c r="D2">
        <v>10241</v>
      </c>
      <c r="E2">
        <v>1808</v>
      </c>
      <c r="F2">
        <v>4</v>
      </c>
      <c r="G2">
        <v>1156</v>
      </c>
      <c r="H2">
        <v>173</v>
      </c>
      <c r="I2">
        <v>67</v>
      </c>
      <c r="J2">
        <v>90</v>
      </c>
      <c r="M2">
        <v>1</v>
      </c>
      <c r="N2">
        <f>SUM(progress_assignment_fd68e454_ba45_4b85_8205_f3bf777ded24_18_Juli[[#This Row],[OPEN]:[EDITED BY Pengawas]])</f>
        <v>50355</v>
      </c>
      <c r="O2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27009</v>
      </c>
      <c r="P2" s="2">
        <f>progress_assignment_fd68e454_ba45_4b85_8205_f3bf777ded24_18_Juli[[#This Row],[Not Draft + Open]]/progress_assignment_fd68e454_ba45_4b85_8205_f3bf777ded24_18_Juli[[#This Row],[Total]]*100</f>
        <v>53.637176050044687</v>
      </c>
      <c r="Q2" s="4">
        <f>progress_assignment_fd68e454_ba45_4b85_8205_f3bf777ded24_18_Juli[[#This Row],[Persentase]]-progress_assignment_fd68e454_ba45_4b85_8205_f3bf777ded24_17_juli[[#This Row],[Persentase]]</f>
        <v>0.74872983490524803</v>
      </c>
      <c r="R2">
        <f>RANK(progress_assignment_fd68e454_ba45_4b85_8205_f3bf777ded24_18_Juli[[#This Row],[Persentase]],progress_assignment_fd68e454_ba45_4b85_8205_f3bf777ded24_18_Juli[Persentase])</f>
        <v>1</v>
      </c>
      <c r="S2" s="3">
        <f>progress_assignment_fd68e454_ba45_4b85_8205_f3bf777ded24_18_Juli[[#This Row],[DRAFT]]-progress_assignment_fd68e454_ba45_4b85_8205_f3bf777ded24_17_juli[[#This Row],[DRAFT]]</f>
        <v>85</v>
      </c>
      <c r="T2" s="3">
        <f>progress_assignment_fd68e454_ba45_4b85_8205_f3bf777ded24_18_Juli[[#This Row],[REJECTED BY Pengawas]]-progress_assignment_fd68e454_ba45_4b85_8205_f3bf777ded24_17_juli[[#This Row],[REJECTED BY Pengawas]]</f>
        <v>55</v>
      </c>
      <c r="U2" s="3">
        <f>progress_assignment_fd68e454_ba45_4b85_8205_f3bf777ded24_18_Juli[[#This Row],[REVOKED BY Pengawas]]-progress_assignment_fd68e454_ba45_4b85_8205_f3bf777ded24_17_juli[[#This Row],[REVOKED BY Pengawas]]</f>
        <v>1</v>
      </c>
    </row>
    <row r="3" spans="1:21" x14ac:dyDescent="0.3">
      <c r="A3">
        <v>7202</v>
      </c>
      <c r="B3">
        <v>76383</v>
      </c>
      <c r="C3">
        <v>32596</v>
      </c>
      <c r="D3">
        <v>42310</v>
      </c>
      <c r="E3">
        <v>4470</v>
      </c>
      <c r="F3">
        <v>13</v>
      </c>
      <c r="G3">
        <v>3363</v>
      </c>
      <c r="H3">
        <v>35</v>
      </c>
      <c r="I3">
        <v>150</v>
      </c>
      <c r="J3">
        <v>4</v>
      </c>
      <c r="M3">
        <v>1</v>
      </c>
      <c r="N3">
        <f>SUM(progress_assignment_fd68e454_ba45_4b85_8205_f3bf777ded24_18_Juli[[#This Row],[OPEN]:[EDITED BY Pengawas]])</f>
        <v>159325</v>
      </c>
      <c r="O3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78472</v>
      </c>
      <c r="P3" s="2">
        <f>progress_assignment_fd68e454_ba45_4b85_8205_f3bf777ded24_18_Juli[[#This Row],[Not Draft + Open]]/progress_assignment_fd68e454_ba45_4b85_8205_f3bf777ded24_18_Juli[[#This Row],[Total]]*100</f>
        <v>49.252785187509808</v>
      </c>
      <c r="Q3" s="4">
        <f>progress_assignment_fd68e454_ba45_4b85_8205_f3bf777ded24_18_Juli[[#This Row],[Persentase]]-progress_assignment_fd68e454_ba45_4b85_8205_f3bf777ded24_17_juli[[#This Row],[Persentase]]</f>
        <v>0.87537301998925443</v>
      </c>
      <c r="R3">
        <f>RANK(progress_assignment_fd68e454_ba45_4b85_8205_f3bf777ded24_18_Juli[[#This Row],[Persentase]],progress_assignment_fd68e454_ba45_4b85_8205_f3bf777ded24_18_Juli[Persentase])</f>
        <v>9</v>
      </c>
      <c r="S3" s="3">
        <f>progress_assignment_fd68e454_ba45_4b85_8205_f3bf777ded24_18_Juli[[#This Row],[DRAFT]]-progress_assignment_fd68e454_ba45_4b85_8205_f3bf777ded24_17_juli[[#This Row],[DRAFT]]</f>
        <v>95</v>
      </c>
      <c r="T3" s="3">
        <f>progress_assignment_fd68e454_ba45_4b85_8205_f3bf777ded24_18_Juli[[#This Row],[REJECTED BY Pengawas]]-progress_assignment_fd68e454_ba45_4b85_8205_f3bf777ded24_17_juli[[#This Row],[REJECTED BY Pengawas]]</f>
        <v>-133</v>
      </c>
      <c r="U3" s="3">
        <f>progress_assignment_fd68e454_ba45_4b85_8205_f3bf777ded24_18_Juli[[#This Row],[REVOKED BY Pengawas]]-progress_assignment_fd68e454_ba45_4b85_8205_f3bf777ded24_17_juli[[#This Row],[REVOKED BY Pengawas]]</f>
        <v>18</v>
      </c>
    </row>
    <row r="4" spans="1:21" x14ac:dyDescent="0.3">
      <c r="A4">
        <v>7203</v>
      </c>
      <c r="B4">
        <v>34048</v>
      </c>
      <c r="C4">
        <v>12395</v>
      </c>
      <c r="D4">
        <v>11909</v>
      </c>
      <c r="E4">
        <v>2466</v>
      </c>
      <c r="F4">
        <v>69</v>
      </c>
      <c r="G4">
        <v>403</v>
      </c>
      <c r="H4">
        <v>32</v>
      </c>
      <c r="I4">
        <v>21</v>
      </c>
      <c r="L4">
        <v>1</v>
      </c>
      <c r="N4">
        <f>SUM(progress_assignment_fd68e454_ba45_4b85_8205_f3bf777ded24_18_Juli[[#This Row],[OPEN]:[EDITED BY Pengawas]])</f>
        <v>61344</v>
      </c>
      <c r="O4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24830</v>
      </c>
      <c r="P4" s="2">
        <f>progress_assignment_fd68e454_ba45_4b85_8205_f3bf777ded24_18_Juli[[#This Row],[Not Draft + Open]]/progress_assignment_fd68e454_ba45_4b85_8205_f3bf777ded24_18_Juli[[#This Row],[Total]]*100</f>
        <v>40.476656233698485</v>
      </c>
      <c r="Q4" s="4">
        <f>progress_assignment_fd68e454_ba45_4b85_8205_f3bf777ded24_18_Juli[[#This Row],[Persentase]]-progress_assignment_fd68e454_ba45_4b85_8205_f3bf777ded24_17_juli[[#This Row],[Persentase]]</f>
        <v>0.92095494670775224</v>
      </c>
      <c r="R4">
        <f>RANK(progress_assignment_fd68e454_ba45_4b85_8205_f3bf777ded24_18_Juli[[#This Row],[Persentase]],progress_assignment_fd68e454_ba45_4b85_8205_f3bf777ded24_18_Juli[Persentase])</f>
        <v>12</v>
      </c>
      <c r="S4" s="3">
        <f>progress_assignment_fd68e454_ba45_4b85_8205_f3bf777ded24_18_Juli[[#This Row],[DRAFT]]-progress_assignment_fd68e454_ba45_4b85_8205_f3bf777ded24_17_juli[[#This Row],[DRAFT]]</f>
        <v>44</v>
      </c>
      <c r="T4" s="3">
        <f>progress_assignment_fd68e454_ba45_4b85_8205_f3bf777ded24_18_Juli[[#This Row],[REJECTED BY Pengawas]]-progress_assignment_fd68e454_ba45_4b85_8205_f3bf777ded24_17_juli[[#This Row],[REJECTED BY Pengawas]]</f>
        <v>125</v>
      </c>
      <c r="U4" s="3">
        <f>progress_assignment_fd68e454_ba45_4b85_8205_f3bf777ded24_18_Juli[[#This Row],[REVOKED BY Pengawas]]-progress_assignment_fd68e454_ba45_4b85_8205_f3bf777ded24_17_juli[[#This Row],[REVOKED BY Pengawas]]</f>
        <v>-7</v>
      </c>
    </row>
    <row r="5" spans="1:21" x14ac:dyDescent="0.3">
      <c r="A5">
        <v>7204</v>
      </c>
      <c r="B5">
        <v>54702</v>
      </c>
      <c r="C5">
        <v>37624</v>
      </c>
      <c r="D5">
        <v>16296</v>
      </c>
      <c r="E5">
        <v>3564</v>
      </c>
      <c r="F5">
        <v>23</v>
      </c>
      <c r="G5">
        <v>2795</v>
      </c>
      <c r="H5">
        <v>473</v>
      </c>
      <c r="I5">
        <v>183</v>
      </c>
      <c r="J5">
        <v>47</v>
      </c>
      <c r="L5">
        <v>3</v>
      </c>
      <c r="N5">
        <f>SUM(progress_assignment_fd68e454_ba45_4b85_8205_f3bf777ded24_18_Juli[[#This Row],[OPEN]:[EDITED BY Pengawas]])</f>
        <v>115710</v>
      </c>
      <c r="O5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57444</v>
      </c>
      <c r="P5" s="2">
        <f>progress_assignment_fd68e454_ba45_4b85_8205_f3bf777ded24_18_Juli[[#This Row],[Not Draft + Open]]/progress_assignment_fd68e454_ba45_4b85_8205_f3bf777ded24_18_Juli[[#This Row],[Total]]*100</f>
        <v>49.644801659320713</v>
      </c>
      <c r="Q5" s="4">
        <f>progress_assignment_fd68e454_ba45_4b85_8205_f3bf777ded24_18_Juli[[#This Row],[Persentase]]-progress_assignment_fd68e454_ba45_4b85_8205_f3bf777ded24_17_juli[[#This Row],[Persentase]]</f>
        <v>0.55806343217389554</v>
      </c>
      <c r="R5">
        <f>RANK(progress_assignment_fd68e454_ba45_4b85_8205_f3bf777ded24_18_Juli[[#This Row],[Persentase]],progress_assignment_fd68e454_ba45_4b85_8205_f3bf777ded24_18_Juli[Persentase])</f>
        <v>7</v>
      </c>
      <c r="S5" s="3">
        <f>progress_assignment_fd68e454_ba45_4b85_8205_f3bf777ded24_18_Juli[[#This Row],[DRAFT]]-progress_assignment_fd68e454_ba45_4b85_8205_f3bf777ded24_17_juli[[#This Row],[DRAFT]]</f>
        <v>121</v>
      </c>
      <c r="T5" s="3">
        <f>progress_assignment_fd68e454_ba45_4b85_8205_f3bf777ded24_18_Juli[[#This Row],[REJECTED BY Pengawas]]-progress_assignment_fd68e454_ba45_4b85_8205_f3bf777ded24_17_juli[[#This Row],[REJECTED BY Pengawas]]</f>
        <v>569</v>
      </c>
      <c r="U5" s="3">
        <f>progress_assignment_fd68e454_ba45_4b85_8205_f3bf777ded24_18_Juli[[#This Row],[REVOKED BY Pengawas]]-progress_assignment_fd68e454_ba45_4b85_8205_f3bf777ded24_17_juli[[#This Row],[REVOKED BY Pengawas]]</f>
        <v>-15</v>
      </c>
    </row>
    <row r="6" spans="1:21" x14ac:dyDescent="0.3">
      <c r="A6">
        <v>7205</v>
      </c>
      <c r="B6">
        <v>56648</v>
      </c>
      <c r="C6">
        <v>52613</v>
      </c>
      <c r="D6">
        <v>7746</v>
      </c>
      <c r="E6">
        <v>2422</v>
      </c>
      <c r="F6">
        <v>965</v>
      </c>
      <c r="G6">
        <v>804</v>
      </c>
      <c r="H6">
        <v>663</v>
      </c>
      <c r="I6">
        <v>167</v>
      </c>
      <c r="J6">
        <v>5</v>
      </c>
      <c r="L6">
        <v>23</v>
      </c>
      <c r="N6">
        <f>SUM(progress_assignment_fd68e454_ba45_4b85_8205_f3bf777ded24_18_Juli[[#This Row],[OPEN]:[EDITED BY Pengawas]])</f>
        <v>122056</v>
      </c>
      <c r="O6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62986</v>
      </c>
      <c r="P6" s="2">
        <f>progress_assignment_fd68e454_ba45_4b85_8205_f3bf777ded24_18_Juli[[#This Row],[Not Draft + Open]]/progress_assignment_fd68e454_ba45_4b85_8205_f3bf777ded24_18_Juli[[#This Row],[Total]]*100</f>
        <v>51.604181687094453</v>
      </c>
      <c r="Q6" s="4">
        <f>progress_assignment_fd68e454_ba45_4b85_8205_f3bf777ded24_18_Juli[[#This Row],[Persentase]]-progress_assignment_fd68e454_ba45_4b85_8205_f3bf777ded24_17_juli[[#This Row],[Persentase]]</f>
        <v>1.0821837915269157</v>
      </c>
      <c r="R6">
        <f>RANK(progress_assignment_fd68e454_ba45_4b85_8205_f3bf777ded24_18_Juli[[#This Row],[Persentase]],progress_assignment_fd68e454_ba45_4b85_8205_f3bf777ded24_18_Juli[Persentase])</f>
        <v>4</v>
      </c>
      <c r="S6" s="3">
        <f>progress_assignment_fd68e454_ba45_4b85_8205_f3bf777ded24_18_Juli[[#This Row],[DRAFT]]-progress_assignment_fd68e454_ba45_4b85_8205_f3bf777ded24_17_juli[[#This Row],[DRAFT]]</f>
        <v>117</v>
      </c>
      <c r="T6" s="3">
        <f>progress_assignment_fd68e454_ba45_4b85_8205_f3bf777ded24_18_Juli[[#This Row],[REJECTED BY Pengawas]]-progress_assignment_fd68e454_ba45_4b85_8205_f3bf777ded24_17_juli[[#This Row],[REJECTED BY Pengawas]]</f>
        <v>60</v>
      </c>
      <c r="U6" s="3">
        <f>progress_assignment_fd68e454_ba45_4b85_8205_f3bf777ded24_18_Juli[[#This Row],[REVOKED BY Pengawas]]-progress_assignment_fd68e454_ba45_4b85_8205_f3bf777ded24_17_juli[[#This Row],[REVOKED BY Pengawas]]</f>
        <v>17</v>
      </c>
    </row>
    <row r="7" spans="1:21" x14ac:dyDescent="0.3">
      <c r="A7">
        <v>7206</v>
      </c>
      <c r="B7">
        <v>42890</v>
      </c>
      <c r="C7">
        <v>37896</v>
      </c>
      <c r="D7">
        <v>5105</v>
      </c>
      <c r="E7">
        <v>2390</v>
      </c>
      <c r="G7">
        <v>972</v>
      </c>
      <c r="H7">
        <v>523</v>
      </c>
      <c r="I7">
        <v>101</v>
      </c>
      <c r="M7">
        <v>1</v>
      </c>
      <c r="N7">
        <f>SUM(progress_assignment_fd68e454_ba45_4b85_8205_f3bf777ded24_18_Juli[[#This Row],[OPEN]:[EDITED BY Pengawas]])</f>
        <v>89878</v>
      </c>
      <c r="O7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44598</v>
      </c>
      <c r="P7" s="2">
        <f>progress_assignment_fd68e454_ba45_4b85_8205_f3bf777ded24_18_Juli[[#This Row],[Not Draft + Open]]/progress_assignment_fd68e454_ba45_4b85_8205_f3bf777ded24_18_Juli[[#This Row],[Total]]*100</f>
        <v>49.620596809007765</v>
      </c>
      <c r="Q7" s="4">
        <f>progress_assignment_fd68e454_ba45_4b85_8205_f3bf777ded24_18_Juli[[#This Row],[Persentase]]-progress_assignment_fd68e454_ba45_4b85_8205_f3bf777ded24_17_juli[[#This Row],[Persentase]]</f>
        <v>0.95779962182169243</v>
      </c>
      <c r="R7">
        <f>RANK(progress_assignment_fd68e454_ba45_4b85_8205_f3bf777ded24_18_Juli[[#This Row],[Persentase]],progress_assignment_fd68e454_ba45_4b85_8205_f3bf777ded24_18_Juli[Persentase])</f>
        <v>8</v>
      </c>
      <c r="S7" s="3">
        <f>progress_assignment_fd68e454_ba45_4b85_8205_f3bf777ded24_18_Juli[[#This Row],[DRAFT]]-progress_assignment_fd68e454_ba45_4b85_8205_f3bf777ded24_17_juli[[#This Row],[DRAFT]]</f>
        <v>20</v>
      </c>
      <c r="T7" s="3">
        <f>progress_assignment_fd68e454_ba45_4b85_8205_f3bf777ded24_18_Juli[[#This Row],[REJECTED BY Pengawas]]-progress_assignment_fd68e454_ba45_4b85_8205_f3bf777ded24_17_juli[[#This Row],[REJECTED BY Pengawas]]</f>
        <v>-77</v>
      </c>
      <c r="U7" s="3">
        <f>progress_assignment_fd68e454_ba45_4b85_8205_f3bf777ded24_18_Juli[[#This Row],[REVOKED BY Pengawas]]-progress_assignment_fd68e454_ba45_4b85_8205_f3bf777ded24_17_juli[[#This Row],[REVOKED BY Pengawas]]</f>
        <v>4</v>
      </c>
    </row>
    <row r="8" spans="1:21" x14ac:dyDescent="0.3">
      <c r="A8">
        <v>7207</v>
      </c>
      <c r="B8">
        <v>30758</v>
      </c>
      <c r="C8">
        <v>23225</v>
      </c>
      <c r="D8">
        <v>6885</v>
      </c>
      <c r="E8">
        <v>2440</v>
      </c>
      <c r="F8">
        <v>1</v>
      </c>
      <c r="G8">
        <v>865</v>
      </c>
      <c r="H8">
        <v>119</v>
      </c>
      <c r="I8">
        <v>57</v>
      </c>
      <c r="J8">
        <v>46</v>
      </c>
      <c r="L8">
        <v>1</v>
      </c>
      <c r="N8">
        <f>SUM(progress_assignment_fd68e454_ba45_4b85_8205_f3bf777ded24_18_Juli[[#This Row],[OPEN]:[EDITED BY Pengawas]])</f>
        <v>64397</v>
      </c>
      <c r="O8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31199</v>
      </c>
      <c r="P8" s="2">
        <f>progress_assignment_fd68e454_ba45_4b85_8205_f3bf777ded24_18_Juli[[#This Row],[Not Draft + Open]]/progress_assignment_fd68e454_ba45_4b85_8205_f3bf777ded24_18_Juli[[#This Row],[Total]]*100</f>
        <v>48.447909064086836</v>
      </c>
      <c r="Q8" s="4">
        <f>progress_assignment_fd68e454_ba45_4b85_8205_f3bf777ded24_18_Juli[[#This Row],[Persentase]]-progress_assignment_fd68e454_ba45_4b85_8205_f3bf777ded24_17_juli[[#This Row],[Persentase]]</f>
        <v>1.1872302226594655</v>
      </c>
      <c r="R8">
        <f>RANK(progress_assignment_fd68e454_ba45_4b85_8205_f3bf777ded24_18_Juli[[#This Row],[Persentase]],progress_assignment_fd68e454_ba45_4b85_8205_f3bf777ded24_18_Juli[Persentase])</f>
        <v>10</v>
      </c>
      <c r="S8" s="3">
        <f>progress_assignment_fd68e454_ba45_4b85_8205_f3bf777ded24_18_Juli[[#This Row],[DRAFT]]-progress_assignment_fd68e454_ba45_4b85_8205_f3bf777ded24_17_juli[[#This Row],[DRAFT]]</f>
        <v>-104</v>
      </c>
      <c r="T8" s="3">
        <f>progress_assignment_fd68e454_ba45_4b85_8205_f3bf777ded24_18_Juli[[#This Row],[REJECTED BY Pengawas]]-progress_assignment_fd68e454_ba45_4b85_8205_f3bf777ded24_17_juli[[#This Row],[REJECTED BY Pengawas]]</f>
        <v>-79</v>
      </c>
      <c r="U8" s="3">
        <f>progress_assignment_fd68e454_ba45_4b85_8205_f3bf777ded24_18_Juli[[#This Row],[REVOKED BY Pengawas]]-progress_assignment_fd68e454_ba45_4b85_8205_f3bf777ded24_17_juli[[#This Row],[REVOKED BY Pengawas]]</f>
        <v>4</v>
      </c>
    </row>
    <row r="9" spans="1:21" x14ac:dyDescent="0.3">
      <c r="A9">
        <v>7208</v>
      </c>
      <c r="B9">
        <v>88787</v>
      </c>
      <c r="C9">
        <v>63591</v>
      </c>
      <c r="D9">
        <v>25462</v>
      </c>
      <c r="E9">
        <v>4191</v>
      </c>
      <c r="F9">
        <v>1804</v>
      </c>
      <c r="G9">
        <v>3870</v>
      </c>
      <c r="H9">
        <v>113</v>
      </c>
      <c r="I9">
        <v>181</v>
      </c>
      <c r="L9">
        <v>15</v>
      </c>
      <c r="M9">
        <v>6</v>
      </c>
      <c r="N9">
        <f>SUM(progress_assignment_fd68e454_ba45_4b85_8205_f3bf777ded24_18_Juli[[#This Row],[OPEN]:[EDITED BY Pengawas]])</f>
        <v>188020</v>
      </c>
      <c r="O9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95042</v>
      </c>
      <c r="P9" s="2">
        <f>progress_assignment_fd68e454_ba45_4b85_8205_f3bf777ded24_18_Juli[[#This Row],[Not Draft + Open]]/progress_assignment_fd68e454_ba45_4b85_8205_f3bf777ded24_18_Juli[[#This Row],[Total]]*100</f>
        <v>50.548877778959692</v>
      </c>
      <c r="Q9" s="4">
        <f>progress_assignment_fd68e454_ba45_4b85_8205_f3bf777ded24_18_Juli[[#This Row],[Persentase]]-progress_assignment_fd68e454_ba45_4b85_8205_f3bf777ded24_17_juli[[#This Row],[Persentase]]</f>
        <v>0.85887058222221668</v>
      </c>
      <c r="R9">
        <f>RANK(progress_assignment_fd68e454_ba45_4b85_8205_f3bf777ded24_18_Juli[[#This Row],[Persentase]],progress_assignment_fd68e454_ba45_4b85_8205_f3bf777ded24_18_Juli[Persentase])</f>
        <v>5</v>
      </c>
      <c r="S9" s="3">
        <f>progress_assignment_fd68e454_ba45_4b85_8205_f3bf777ded24_18_Juli[[#This Row],[DRAFT]]-progress_assignment_fd68e454_ba45_4b85_8205_f3bf777ded24_17_juli[[#This Row],[DRAFT]]</f>
        <v>30</v>
      </c>
      <c r="T9" s="3">
        <f>progress_assignment_fd68e454_ba45_4b85_8205_f3bf777ded24_18_Juli[[#This Row],[REJECTED BY Pengawas]]-progress_assignment_fd68e454_ba45_4b85_8205_f3bf777ded24_17_juli[[#This Row],[REJECTED BY Pengawas]]</f>
        <v>23</v>
      </c>
      <c r="U9" s="3">
        <f>progress_assignment_fd68e454_ba45_4b85_8205_f3bf777ded24_18_Juli[[#This Row],[REVOKED BY Pengawas]]-progress_assignment_fd68e454_ba45_4b85_8205_f3bf777ded24_17_juli[[#This Row],[REVOKED BY Pengawas]]</f>
        <v>8</v>
      </c>
    </row>
    <row r="10" spans="1:21" x14ac:dyDescent="0.3">
      <c r="A10">
        <v>7209</v>
      </c>
      <c r="B10">
        <v>29722</v>
      </c>
      <c r="C10">
        <v>22927</v>
      </c>
      <c r="D10">
        <v>8760</v>
      </c>
      <c r="E10">
        <v>1157</v>
      </c>
      <c r="F10">
        <v>83</v>
      </c>
      <c r="G10">
        <v>2677</v>
      </c>
      <c r="I10">
        <v>158</v>
      </c>
      <c r="J10">
        <v>8</v>
      </c>
      <c r="M10">
        <v>2</v>
      </c>
      <c r="N10">
        <f>SUM(progress_assignment_fd68e454_ba45_4b85_8205_f3bf777ded24_18_Juli[[#This Row],[OPEN]:[EDITED BY Pengawas]])</f>
        <v>65494</v>
      </c>
      <c r="O10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34615</v>
      </c>
      <c r="P10" s="2">
        <f>progress_assignment_fd68e454_ba45_4b85_8205_f3bf777ded24_18_Juli[[#This Row],[Not Draft + Open]]/progress_assignment_fd68e454_ba45_4b85_8205_f3bf777ded24_18_Juli[[#This Row],[Total]]*100</f>
        <v>52.85216966439674</v>
      </c>
      <c r="Q10" s="4">
        <f>progress_assignment_fd68e454_ba45_4b85_8205_f3bf777ded24_18_Juli[[#This Row],[Persentase]]-progress_assignment_fd68e454_ba45_4b85_8205_f3bf777ded24_17_juli[[#This Row],[Persentase]]</f>
        <v>1.1179461218336115</v>
      </c>
      <c r="R10">
        <f>RANK(progress_assignment_fd68e454_ba45_4b85_8205_f3bf777ded24_18_Juli[[#This Row],[Persentase]],progress_assignment_fd68e454_ba45_4b85_8205_f3bf777ded24_18_Juli[Persentase])</f>
        <v>2</v>
      </c>
      <c r="S10" s="3">
        <f>progress_assignment_fd68e454_ba45_4b85_8205_f3bf777ded24_18_Juli[[#This Row],[DRAFT]]-progress_assignment_fd68e454_ba45_4b85_8205_f3bf777ded24_17_juli[[#This Row],[DRAFT]]</f>
        <v>-4</v>
      </c>
      <c r="T10" s="3">
        <f>progress_assignment_fd68e454_ba45_4b85_8205_f3bf777ded24_18_Juli[[#This Row],[REJECTED BY Pengawas]]-progress_assignment_fd68e454_ba45_4b85_8205_f3bf777ded24_17_juli[[#This Row],[REJECTED BY Pengawas]]</f>
        <v>279</v>
      </c>
      <c r="U10" s="3">
        <f>progress_assignment_fd68e454_ba45_4b85_8205_f3bf777ded24_18_Juli[[#This Row],[REVOKED BY Pengawas]]-progress_assignment_fd68e454_ba45_4b85_8205_f3bf777ded24_17_juli[[#This Row],[REVOKED BY Pengawas]]</f>
        <v>39</v>
      </c>
    </row>
    <row r="11" spans="1:21" x14ac:dyDescent="0.3">
      <c r="A11">
        <v>7210</v>
      </c>
      <c r="B11">
        <v>57077</v>
      </c>
      <c r="C11">
        <v>47430</v>
      </c>
      <c r="D11">
        <v>8698</v>
      </c>
      <c r="E11">
        <v>1930</v>
      </c>
      <c r="F11">
        <v>137</v>
      </c>
      <c r="G11">
        <v>1690</v>
      </c>
      <c r="H11">
        <v>437</v>
      </c>
      <c r="I11">
        <v>85</v>
      </c>
      <c r="J11">
        <v>8</v>
      </c>
      <c r="L11">
        <v>10</v>
      </c>
      <c r="N11">
        <f>SUM(progress_assignment_fd68e454_ba45_4b85_8205_f3bf777ded24_18_Juli[[#This Row],[OPEN]:[EDITED BY Pengawas]])</f>
        <v>117502</v>
      </c>
      <c r="O11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58495</v>
      </c>
      <c r="P11" s="2">
        <f>progress_assignment_fd68e454_ba45_4b85_8205_f3bf777ded24_18_Juli[[#This Row],[Not Draft + Open]]/progress_assignment_fd68e454_ba45_4b85_8205_f3bf777ded24_18_Juli[[#This Row],[Total]]*100</f>
        <v>49.782131367976717</v>
      </c>
      <c r="Q11" s="4">
        <f>progress_assignment_fd68e454_ba45_4b85_8205_f3bf777ded24_18_Juli[[#This Row],[Persentase]]-progress_assignment_fd68e454_ba45_4b85_8205_f3bf777ded24_17_juli[[#This Row],[Persentase]]</f>
        <v>0.96633516356727966</v>
      </c>
      <c r="R11">
        <f>RANK(progress_assignment_fd68e454_ba45_4b85_8205_f3bf777ded24_18_Juli[[#This Row],[Persentase]],progress_assignment_fd68e454_ba45_4b85_8205_f3bf777ded24_18_Juli[Persentase])</f>
        <v>6</v>
      </c>
      <c r="S11" s="3">
        <f>progress_assignment_fd68e454_ba45_4b85_8205_f3bf777ded24_18_Juli[[#This Row],[DRAFT]]-progress_assignment_fd68e454_ba45_4b85_8205_f3bf777ded24_17_juli[[#This Row],[DRAFT]]</f>
        <v>65</v>
      </c>
      <c r="T11" s="3">
        <f>progress_assignment_fd68e454_ba45_4b85_8205_f3bf777ded24_18_Juli[[#This Row],[REJECTED BY Pengawas]]-progress_assignment_fd68e454_ba45_4b85_8205_f3bf777ded24_17_juli[[#This Row],[REJECTED BY Pengawas]]</f>
        <v>58</v>
      </c>
      <c r="U11" s="3">
        <f>progress_assignment_fd68e454_ba45_4b85_8205_f3bf777ded24_18_Juli[[#This Row],[REVOKED BY Pengawas]]-progress_assignment_fd68e454_ba45_4b85_8205_f3bf777ded24_17_juli[[#This Row],[REVOKED BY Pengawas]]</f>
        <v>1</v>
      </c>
    </row>
    <row r="12" spans="1:21" x14ac:dyDescent="0.3">
      <c r="A12">
        <v>7211</v>
      </c>
      <c r="B12">
        <v>14351</v>
      </c>
      <c r="C12">
        <v>15069</v>
      </c>
      <c r="D12">
        <v>1034</v>
      </c>
      <c r="E12">
        <v>244</v>
      </c>
      <c r="G12">
        <v>68</v>
      </c>
      <c r="H12">
        <v>8</v>
      </c>
      <c r="I12">
        <v>24</v>
      </c>
      <c r="J12">
        <v>24</v>
      </c>
      <c r="M12">
        <v>1</v>
      </c>
      <c r="N12">
        <f>SUM(progress_assignment_fd68e454_ba45_4b85_8205_f3bf777ded24_18_Juli[[#This Row],[OPEN]:[EDITED BY Pengawas]])</f>
        <v>30823</v>
      </c>
      <c r="O12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16228</v>
      </c>
      <c r="P12" s="2">
        <f>progress_assignment_fd68e454_ba45_4b85_8205_f3bf777ded24_18_Juli[[#This Row],[Not Draft + Open]]/progress_assignment_fd68e454_ba45_4b85_8205_f3bf777ded24_18_Juli[[#This Row],[Total]]*100</f>
        <v>52.648995879700223</v>
      </c>
      <c r="Q12" s="4">
        <f>progress_assignment_fd68e454_ba45_4b85_8205_f3bf777ded24_18_Juli[[#This Row],[Persentase]]-progress_assignment_fd68e454_ba45_4b85_8205_f3bf777ded24_17_juli[[#This Row],[Persentase]]</f>
        <v>0.69200104421771869</v>
      </c>
      <c r="R12">
        <f>RANK(progress_assignment_fd68e454_ba45_4b85_8205_f3bf777ded24_18_Juli[[#This Row],[Persentase]],progress_assignment_fd68e454_ba45_4b85_8205_f3bf777ded24_18_Juli[Persentase])</f>
        <v>3</v>
      </c>
      <c r="S12" s="3">
        <f>progress_assignment_fd68e454_ba45_4b85_8205_f3bf777ded24_18_Juli[[#This Row],[DRAFT]]-progress_assignment_fd68e454_ba45_4b85_8205_f3bf777ded24_17_juli[[#This Row],[DRAFT]]</f>
        <v>-8</v>
      </c>
      <c r="T12" s="3">
        <f>progress_assignment_fd68e454_ba45_4b85_8205_f3bf777ded24_18_Juli[[#This Row],[REJECTED BY Pengawas]]-progress_assignment_fd68e454_ba45_4b85_8205_f3bf777ded24_17_juli[[#This Row],[REJECTED BY Pengawas]]</f>
        <v>7</v>
      </c>
      <c r="U12" s="3">
        <f>progress_assignment_fd68e454_ba45_4b85_8205_f3bf777ded24_18_Juli[[#This Row],[REVOKED BY Pengawas]]-progress_assignment_fd68e454_ba45_4b85_8205_f3bf777ded24_17_juli[[#This Row],[REVOKED BY Pengawas]]</f>
        <v>13</v>
      </c>
    </row>
    <row r="13" spans="1:21" x14ac:dyDescent="0.3">
      <c r="A13">
        <v>7212</v>
      </c>
      <c r="B13">
        <v>25261</v>
      </c>
      <c r="C13">
        <v>13230</v>
      </c>
      <c r="D13">
        <v>7217</v>
      </c>
      <c r="E13">
        <v>758</v>
      </c>
      <c r="F13">
        <v>35</v>
      </c>
      <c r="G13">
        <v>407</v>
      </c>
      <c r="H13">
        <v>17</v>
      </c>
      <c r="I13">
        <v>66</v>
      </c>
      <c r="J13">
        <v>1</v>
      </c>
      <c r="N13">
        <f>SUM(progress_assignment_fd68e454_ba45_4b85_8205_f3bf777ded24_18_Juli[[#This Row],[OPEN]:[EDITED BY Pengawas]])</f>
        <v>46992</v>
      </c>
      <c r="O13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20973</v>
      </c>
      <c r="P13" s="2">
        <f>progress_assignment_fd68e454_ba45_4b85_8205_f3bf777ded24_18_Juli[[#This Row],[Not Draft + Open]]/progress_assignment_fd68e454_ba45_4b85_8205_f3bf777ded24_18_Juli[[#This Row],[Total]]*100</f>
        <v>44.631001021450459</v>
      </c>
      <c r="Q13" s="4">
        <f>progress_assignment_fd68e454_ba45_4b85_8205_f3bf777ded24_18_Juli[[#This Row],[Persentase]]-progress_assignment_fd68e454_ba45_4b85_8205_f3bf777ded24_17_juli[[#This Row],[Persentase]]</f>
        <v>1.1395674512868155</v>
      </c>
      <c r="R13">
        <f>RANK(progress_assignment_fd68e454_ba45_4b85_8205_f3bf777ded24_18_Juli[[#This Row],[Persentase]],progress_assignment_fd68e454_ba45_4b85_8205_f3bf777ded24_18_Juli[Persentase])</f>
        <v>11</v>
      </c>
      <c r="S13" s="3">
        <f>progress_assignment_fd68e454_ba45_4b85_8205_f3bf777ded24_18_Juli[[#This Row],[DRAFT]]-progress_assignment_fd68e454_ba45_4b85_8205_f3bf777ded24_17_juli[[#This Row],[DRAFT]]</f>
        <v>-12</v>
      </c>
      <c r="T13" s="3">
        <f>progress_assignment_fd68e454_ba45_4b85_8205_f3bf777ded24_18_Juli[[#This Row],[REJECTED BY Pengawas]]-progress_assignment_fd68e454_ba45_4b85_8205_f3bf777ded24_17_juli[[#This Row],[REJECTED BY Pengawas]]</f>
        <v>79</v>
      </c>
      <c r="U13" s="3">
        <f>progress_assignment_fd68e454_ba45_4b85_8205_f3bf777ded24_18_Juli[[#This Row],[REVOKED BY Pengawas]]-progress_assignment_fd68e454_ba45_4b85_8205_f3bf777ded24_17_juli[[#This Row],[REVOKED BY Pengawas]]</f>
        <v>3</v>
      </c>
    </row>
    <row r="14" spans="1:21" x14ac:dyDescent="0.3">
      <c r="A14">
        <v>7271</v>
      </c>
      <c r="B14">
        <v>108846</v>
      </c>
      <c r="C14">
        <v>40402</v>
      </c>
      <c r="D14">
        <v>28949</v>
      </c>
      <c r="E14">
        <v>7700</v>
      </c>
      <c r="F14">
        <v>2216</v>
      </c>
      <c r="G14">
        <v>1755</v>
      </c>
      <c r="H14">
        <v>1588</v>
      </c>
      <c r="I14">
        <v>123</v>
      </c>
      <c r="J14">
        <v>36</v>
      </c>
      <c r="K14">
        <v>6</v>
      </c>
      <c r="N14">
        <f>SUM(progress_assignment_fd68e454_ba45_4b85_8205_f3bf777ded24_18_Juli[[#This Row],[OPEN]:[EDITED BY Pengawas]])</f>
        <v>191621</v>
      </c>
      <c r="O14">
        <f>progress_assignment_fd68e454_ba45_4b85_8205_f3bf777ded24_18_Juli[[#This Row],[EDITED BY Pengawas]]+progress_assignment_fd68e454_ba45_4b85_8205_f3bf777ded24_18_Juli[[#This Row],[REJECTED BY Admin Kabupaten]]+progress_assignment_fd68e454_ba45_4b85_8205_f3bf777ded24_18_Juli[[#This Row],[REVOKED BY Admin Kabupaten]]+progress_assignment_fd68e454_ba45_4b85_8205_f3bf777ded24_18_Juli[[#This Row],[SUBMITTED RESPONDENT]]+progress_assignment_fd68e454_ba45_4b85_8205_f3bf777ded24_18_Juli[[#This Row],[REVOKED BY Pengawas]]+progress_assignment_fd68e454_ba45_4b85_8205_f3bf777ded24_18_Juli[[#This Row],[EDITED BY Admin Kabupaten]]+progress_assignment_fd68e454_ba45_4b85_8205_f3bf777ded24_18_Juli[[#This Row],[REJECTED BY Pengawas]]+progress_assignment_fd68e454_ba45_4b85_8205_f3bf777ded24_18_Juli[[#This Row],[COMPLETED BY Admin Kabupaten]]+progress_assignment_fd68e454_ba45_4b85_8205_f3bf777ded24_18_Juli[[#This Row],[SUBMITTED BY Pencacah]]+progress_assignment_fd68e454_ba45_4b85_8205_f3bf777ded24_18_Juli[[#This Row],[APPROVED BY Pengawas]]</f>
        <v>75075</v>
      </c>
      <c r="P14" s="2">
        <f>progress_assignment_fd68e454_ba45_4b85_8205_f3bf777ded24_18_Juli[[#This Row],[Not Draft + Open]]/progress_assignment_fd68e454_ba45_4b85_8205_f3bf777ded24_18_Juli[[#This Row],[Total]]*100</f>
        <v>39.178900016177771</v>
      </c>
      <c r="Q14" s="4">
        <f>progress_assignment_fd68e454_ba45_4b85_8205_f3bf777ded24_18_Juli[[#This Row],[Persentase]]-progress_assignment_fd68e454_ba45_4b85_8205_f3bf777ded24_17_juli[[#This Row],[Persentase]]</f>
        <v>1.285420422897765</v>
      </c>
      <c r="R14">
        <f>RANK(progress_assignment_fd68e454_ba45_4b85_8205_f3bf777ded24_18_Juli[[#This Row],[Persentase]],progress_assignment_fd68e454_ba45_4b85_8205_f3bf777ded24_18_Juli[Persentase])</f>
        <v>13</v>
      </c>
      <c r="S14" s="3">
        <f>progress_assignment_fd68e454_ba45_4b85_8205_f3bf777ded24_18_Juli[[#This Row],[DRAFT]]-progress_assignment_fd68e454_ba45_4b85_8205_f3bf777ded24_17_juli[[#This Row],[DRAFT]]</f>
        <v>38</v>
      </c>
      <c r="T14" s="3">
        <f>progress_assignment_fd68e454_ba45_4b85_8205_f3bf777ded24_18_Juli[[#This Row],[REJECTED BY Pengawas]]-progress_assignment_fd68e454_ba45_4b85_8205_f3bf777ded24_17_juli[[#This Row],[REJECTED BY Pengawas]]</f>
        <v>280</v>
      </c>
      <c r="U14" s="3">
        <f>progress_assignment_fd68e454_ba45_4b85_8205_f3bf777ded24_18_Juli[[#This Row],[REVOKED BY Pengawas]]-progress_assignment_fd68e454_ba45_4b85_8205_f3bf777ded24_17_juli[[#This Row],[REVOKED BY Pengawas]]</f>
        <v>1</v>
      </c>
    </row>
    <row r="16" spans="1:21" x14ac:dyDescent="0.3">
      <c r="A16" s="5">
        <v>7200</v>
      </c>
      <c r="B16" s="5">
        <f>SUM(progress_assignment_fd68e454_ba45_4b85_8205_f3bf777ded24_18_Juli[OPEN])</f>
        <v>641011</v>
      </c>
      <c r="C16" s="5">
        <f>SUM(progress_assignment_fd68e454_ba45_4b85_8205_f3bf777ded24_18_Juli[APPROVED BY Pengawas])</f>
        <v>414275</v>
      </c>
      <c r="D16" s="5">
        <f>SUM(progress_assignment_fd68e454_ba45_4b85_8205_f3bf777ded24_18_Juli[SUBMITTED BY Pencacah])</f>
        <v>180612</v>
      </c>
      <c r="E16" s="5">
        <f>SUM(progress_assignment_fd68e454_ba45_4b85_8205_f3bf777ded24_18_Juli[DRAFT])</f>
        <v>35540</v>
      </c>
      <c r="F16" s="5">
        <f>SUM(progress_assignment_fd68e454_ba45_4b85_8205_f3bf777ded24_18_Juli[COMPLETED BY Admin Kabupaten])</f>
        <v>5350</v>
      </c>
      <c r="G16" s="5">
        <f>SUM(progress_assignment_fd68e454_ba45_4b85_8205_f3bf777ded24_18_Juli[REJECTED BY Pengawas])</f>
        <v>20825</v>
      </c>
      <c r="H16" s="5">
        <f>SUM(progress_assignment_fd68e454_ba45_4b85_8205_f3bf777ded24_18_Juli[EDITED BY Admin Kabupaten])</f>
        <v>4181</v>
      </c>
      <c r="I16" s="5">
        <f>SUM(progress_assignment_fd68e454_ba45_4b85_8205_f3bf777ded24_18_Juli[REVOKED BY Pengawas])</f>
        <v>1383</v>
      </c>
      <c r="J16" s="5">
        <f>SUM(progress_assignment_fd68e454_ba45_4b85_8205_f3bf777ded24_18_Juli[SUBMITTED RESPONDENT])</f>
        <v>269</v>
      </c>
      <c r="K16" s="5">
        <f>SUM(progress_assignment_fd68e454_ba45_4b85_8205_f3bf777ded24_18_Juli[REVOKED BY Admin Kabupaten])</f>
        <v>6</v>
      </c>
      <c r="L16" s="5">
        <f>SUM(progress_assignment_fd68e454_ba45_4b85_8205_f3bf777ded24_18_Juli[REJECTED BY Admin Kabupaten])</f>
        <v>53</v>
      </c>
      <c r="M16" s="5">
        <f>SUM(progress_assignment_fd68e454_ba45_4b85_8205_f3bf777ded24_18_Juli[EDITED BY Pengawas])</f>
        <v>12</v>
      </c>
      <c r="N16" s="5">
        <f>SUM(progress_assignment_fd68e454_ba45_4b85_8205_f3bf777ded24_18_Juli[Total])</f>
        <v>1303517</v>
      </c>
      <c r="O16" s="5">
        <f>SUM(progress_assignment_fd68e454_ba45_4b85_8205_f3bf777ded24_18_Juli[Not Draft + Open])</f>
        <v>626966</v>
      </c>
      <c r="P16" s="6">
        <f>O16/N16*100</f>
        <v>48.09803017528732</v>
      </c>
      <c r="Q16" s="7">
        <f>P16-'17 Juli'!P16</f>
        <v>0.96558740487961359</v>
      </c>
      <c r="R16" s="5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F0F83-117E-4681-806C-7D1FF7CAF08B}">
  <dimension ref="A1:R16"/>
  <sheetViews>
    <sheetView workbookViewId="0">
      <selection activeCell="N1" sqref="N1:R1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32.44140625" hidden="1" customWidth="1"/>
    <col min="7" max="7" width="23" hidden="1" customWidth="1"/>
    <col min="8" max="8" width="27.88671875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t="s">
        <v>14</v>
      </c>
      <c r="Q1" t="s">
        <v>16</v>
      </c>
      <c r="R1" t="s">
        <v>17</v>
      </c>
    </row>
    <row r="2" spans="1:18" x14ac:dyDescent="0.3">
      <c r="A2">
        <v>7201</v>
      </c>
      <c r="B2">
        <v>21077</v>
      </c>
      <c r="C2">
        <v>15702</v>
      </c>
      <c r="D2">
        <v>10517</v>
      </c>
      <c r="E2">
        <v>1946</v>
      </c>
      <c r="F2">
        <v>4</v>
      </c>
      <c r="G2">
        <v>922</v>
      </c>
      <c r="H2">
        <v>174</v>
      </c>
      <c r="I2">
        <v>93</v>
      </c>
      <c r="J2">
        <v>90</v>
      </c>
      <c r="M2">
        <v>1</v>
      </c>
      <c r="N2">
        <f>SUM(progress_assignment_fd68e454_ba45_4b85_8205_f3bf777ded24__19[[#This Row],[OPEN]:[EDITED BY Pengawas]])</f>
        <v>50526</v>
      </c>
      <c r="O2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27503</v>
      </c>
      <c r="P2" s="2">
        <f>progress_assignment_fd68e454_ba45_4b85_8205_f3bf777ded24__19[[#This Row],[Not Draft + Open]]/progress_assignment_fd68e454_ba45_4b85_8205_f3bf777ded24__19[[#This Row],[Total]]*100</f>
        <v>54.433361041839845</v>
      </c>
      <c r="Q2" s="4">
        <f>progress_assignment_fd68e454_ba45_4b85_8205_f3bf777ded24__19[[#This Row],[Persentase]]-progress_assignment_fd68e454_ba45_4b85_8205_f3bf777ded24_18_Juli[[#This Row],[Persentase]]</f>
        <v>0.79618499179515823</v>
      </c>
      <c r="R2">
        <f>RANK(progress_assignment_fd68e454_ba45_4b85_8205_f3bf777ded24__19[[#This Row],[Persentase]],progress_assignment_fd68e454_ba45_4b85_8205_f3bf777ded24__19[Persentase])</f>
        <v>1</v>
      </c>
    </row>
    <row r="3" spans="1:18" x14ac:dyDescent="0.3">
      <c r="A3">
        <v>7202</v>
      </c>
      <c r="B3">
        <v>74716</v>
      </c>
      <c r="C3">
        <v>34860</v>
      </c>
      <c r="D3">
        <v>42060</v>
      </c>
      <c r="E3">
        <v>4592</v>
      </c>
      <c r="F3">
        <v>13</v>
      </c>
      <c r="G3">
        <v>3477</v>
      </c>
      <c r="H3">
        <v>35</v>
      </c>
      <c r="I3">
        <v>141</v>
      </c>
      <c r="J3">
        <v>4</v>
      </c>
      <c r="M3">
        <v>1</v>
      </c>
      <c r="N3">
        <f>SUM(progress_assignment_fd68e454_ba45_4b85_8205_f3bf777ded24__19[[#This Row],[OPEN]:[EDITED BY Pengawas]])</f>
        <v>159899</v>
      </c>
      <c r="O3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80591</v>
      </c>
      <c r="P3" s="2">
        <f>progress_assignment_fd68e454_ba45_4b85_8205_f3bf777ded24__19[[#This Row],[Not Draft + Open]]/progress_assignment_fd68e454_ba45_4b85_8205_f3bf777ded24__19[[#This Row],[Total]]*100</f>
        <v>50.401190751661986</v>
      </c>
      <c r="Q3" s="4">
        <f>progress_assignment_fd68e454_ba45_4b85_8205_f3bf777ded24__19[[#This Row],[Persentase]]-progress_assignment_fd68e454_ba45_4b85_8205_f3bf777ded24_18_Juli[[#This Row],[Persentase]]</f>
        <v>1.1484055641521778</v>
      </c>
      <c r="R3">
        <f>RANK(progress_assignment_fd68e454_ba45_4b85_8205_f3bf777ded24__19[[#This Row],[Persentase]],progress_assignment_fd68e454_ba45_4b85_8205_f3bf777ded24__19[Persentase])</f>
        <v>8</v>
      </c>
    </row>
    <row r="4" spans="1:18" x14ac:dyDescent="0.3">
      <c r="A4">
        <v>7203</v>
      </c>
      <c r="B4">
        <v>33512</v>
      </c>
      <c r="C4">
        <v>13698</v>
      </c>
      <c r="D4">
        <v>11423</v>
      </c>
      <c r="E4">
        <v>2497</v>
      </c>
      <c r="F4">
        <v>69</v>
      </c>
      <c r="G4">
        <v>418</v>
      </c>
      <c r="H4">
        <v>32</v>
      </c>
      <c r="I4">
        <v>24</v>
      </c>
      <c r="L4">
        <v>1</v>
      </c>
      <c r="N4">
        <f>SUM(progress_assignment_fd68e454_ba45_4b85_8205_f3bf777ded24__19[[#This Row],[OPEN]:[EDITED BY Pengawas]])</f>
        <v>61674</v>
      </c>
      <c r="O4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25665</v>
      </c>
      <c r="P4" s="2">
        <f>progress_assignment_fd68e454_ba45_4b85_8205_f3bf777ded24__19[[#This Row],[Not Draft + Open]]/progress_assignment_fd68e454_ba45_4b85_8205_f3bf777ded24__19[[#This Row],[Total]]*100</f>
        <v>41.613970230567176</v>
      </c>
      <c r="Q4" s="4">
        <f>progress_assignment_fd68e454_ba45_4b85_8205_f3bf777ded24__19[[#This Row],[Persentase]]-progress_assignment_fd68e454_ba45_4b85_8205_f3bf777ded24_18_Juli[[#This Row],[Persentase]]</f>
        <v>1.1373139968686914</v>
      </c>
      <c r="R4">
        <f>RANK(progress_assignment_fd68e454_ba45_4b85_8205_f3bf777ded24__19[[#This Row],[Persentase]],progress_assignment_fd68e454_ba45_4b85_8205_f3bf777ded24__19[Persentase])</f>
        <v>12</v>
      </c>
    </row>
    <row r="5" spans="1:18" x14ac:dyDescent="0.3">
      <c r="A5">
        <v>7204</v>
      </c>
      <c r="B5">
        <v>54108</v>
      </c>
      <c r="C5">
        <v>38372</v>
      </c>
      <c r="D5">
        <v>16431</v>
      </c>
      <c r="E5">
        <v>3720</v>
      </c>
      <c r="F5">
        <v>23</v>
      </c>
      <c r="G5">
        <v>2457</v>
      </c>
      <c r="H5">
        <v>473</v>
      </c>
      <c r="I5">
        <v>263</v>
      </c>
      <c r="J5">
        <v>47</v>
      </c>
      <c r="L5">
        <v>3</v>
      </c>
      <c r="N5">
        <f>SUM(progress_assignment_fd68e454_ba45_4b85_8205_f3bf777ded24__19[[#This Row],[OPEN]:[EDITED BY Pengawas]])</f>
        <v>115897</v>
      </c>
      <c r="O5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58069</v>
      </c>
      <c r="P5" s="2">
        <f>progress_assignment_fd68e454_ba45_4b85_8205_f3bf777ded24__19[[#This Row],[Not Draft + Open]]/progress_assignment_fd68e454_ba45_4b85_8205_f3bf777ded24__19[[#This Row],[Total]]*100</f>
        <v>50.103971629981793</v>
      </c>
      <c r="Q5" s="4">
        <f>progress_assignment_fd68e454_ba45_4b85_8205_f3bf777ded24__19[[#This Row],[Persentase]]-progress_assignment_fd68e454_ba45_4b85_8205_f3bf777ded24_18_Juli[[#This Row],[Persentase]]</f>
        <v>0.45916997066107967</v>
      </c>
      <c r="R5">
        <f>RANK(progress_assignment_fd68e454_ba45_4b85_8205_f3bf777ded24__19[[#This Row],[Persentase]],progress_assignment_fd68e454_ba45_4b85_8205_f3bf777ded24__19[Persentase])</f>
        <v>9</v>
      </c>
    </row>
    <row r="6" spans="1:18" x14ac:dyDescent="0.3">
      <c r="A6">
        <v>7205</v>
      </c>
      <c r="B6">
        <v>55427</v>
      </c>
      <c r="C6">
        <v>54125</v>
      </c>
      <c r="D6">
        <v>7878</v>
      </c>
      <c r="E6">
        <v>2514</v>
      </c>
      <c r="F6">
        <v>965</v>
      </c>
      <c r="G6">
        <v>836</v>
      </c>
      <c r="H6">
        <v>663</v>
      </c>
      <c r="I6">
        <v>182</v>
      </c>
      <c r="J6">
        <v>5</v>
      </c>
      <c r="L6">
        <v>22</v>
      </c>
      <c r="N6">
        <f>SUM(progress_assignment_fd68e454_ba45_4b85_8205_f3bf777ded24__19[[#This Row],[OPEN]:[EDITED BY Pengawas]])</f>
        <v>122617</v>
      </c>
      <c r="O6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64676</v>
      </c>
      <c r="P6" s="2">
        <f>progress_assignment_fd68e454_ba45_4b85_8205_f3bf777ded24__19[[#This Row],[Not Draft + Open]]/progress_assignment_fd68e454_ba45_4b85_8205_f3bf777ded24__19[[#This Row],[Total]]*100</f>
        <v>52.746356541099523</v>
      </c>
      <c r="Q6" s="4">
        <f>progress_assignment_fd68e454_ba45_4b85_8205_f3bf777ded24__19[[#This Row],[Persentase]]-progress_assignment_fd68e454_ba45_4b85_8205_f3bf777ded24_18_Juli[[#This Row],[Persentase]]</f>
        <v>1.14217485400507</v>
      </c>
      <c r="R6">
        <f>RANK(progress_assignment_fd68e454_ba45_4b85_8205_f3bf777ded24__19[[#This Row],[Persentase]],progress_assignment_fd68e454_ba45_4b85_8205_f3bf777ded24__19[Persentase])</f>
        <v>4</v>
      </c>
    </row>
    <row r="7" spans="1:18" x14ac:dyDescent="0.3">
      <c r="A7">
        <v>7206</v>
      </c>
      <c r="B7">
        <v>42140</v>
      </c>
      <c r="C7">
        <v>39223</v>
      </c>
      <c r="D7">
        <v>4750</v>
      </c>
      <c r="E7">
        <v>2516</v>
      </c>
      <c r="G7">
        <v>963</v>
      </c>
      <c r="H7">
        <v>523</v>
      </c>
      <c r="I7">
        <v>90</v>
      </c>
      <c r="M7">
        <v>1</v>
      </c>
      <c r="N7">
        <f>SUM(progress_assignment_fd68e454_ba45_4b85_8205_f3bf777ded24__19[[#This Row],[OPEN]:[EDITED BY Pengawas]])</f>
        <v>90206</v>
      </c>
      <c r="O7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45550</v>
      </c>
      <c r="P7" s="2">
        <f>progress_assignment_fd68e454_ba45_4b85_8205_f3bf777ded24__19[[#This Row],[Not Draft + Open]]/progress_assignment_fd68e454_ba45_4b85_8205_f3bf777ded24__19[[#This Row],[Total]]*100</f>
        <v>50.495532447952463</v>
      </c>
      <c r="Q7" s="4">
        <f>progress_assignment_fd68e454_ba45_4b85_8205_f3bf777ded24__19[[#This Row],[Persentase]]-progress_assignment_fd68e454_ba45_4b85_8205_f3bf777ded24_18_Juli[[#This Row],[Persentase]]</f>
        <v>0.87493563894469872</v>
      </c>
      <c r="R7">
        <f>RANK(progress_assignment_fd68e454_ba45_4b85_8205_f3bf777ded24__19[[#This Row],[Persentase]],progress_assignment_fd68e454_ba45_4b85_8205_f3bf777ded24__19[Persentase])</f>
        <v>7</v>
      </c>
    </row>
    <row r="8" spans="1:18" x14ac:dyDescent="0.3">
      <c r="A8">
        <v>7207</v>
      </c>
      <c r="B8">
        <v>30014</v>
      </c>
      <c r="C8">
        <v>25298</v>
      </c>
      <c r="D8">
        <v>5562</v>
      </c>
      <c r="E8">
        <v>2717</v>
      </c>
      <c r="F8">
        <v>1</v>
      </c>
      <c r="G8">
        <v>834</v>
      </c>
      <c r="H8">
        <v>119</v>
      </c>
      <c r="I8">
        <v>59</v>
      </c>
      <c r="J8">
        <v>46</v>
      </c>
      <c r="L8">
        <v>1</v>
      </c>
      <c r="N8">
        <f>SUM(progress_assignment_fd68e454_ba45_4b85_8205_f3bf777ded24__19[[#This Row],[OPEN]:[EDITED BY Pengawas]])</f>
        <v>64651</v>
      </c>
      <c r="O8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31920</v>
      </c>
      <c r="P8" s="2">
        <f>progress_assignment_fd68e454_ba45_4b85_8205_f3bf777ded24__19[[#This Row],[Not Draft + Open]]/progress_assignment_fd68e454_ba45_4b85_8205_f3bf777ded24__19[[#This Row],[Total]]*100</f>
        <v>49.372786190468823</v>
      </c>
      <c r="Q8" s="4">
        <f>progress_assignment_fd68e454_ba45_4b85_8205_f3bf777ded24__19[[#This Row],[Persentase]]-progress_assignment_fd68e454_ba45_4b85_8205_f3bf777ded24_18_Juli[[#This Row],[Persentase]]</f>
        <v>0.92487712638198616</v>
      </c>
      <c r="R8">
        <f>RANK(progress_assignment_fd68e454_ba45_4b85_8205_f3bf777ded24__19[[#This Row],[Persentase]],progress_assignment_fd68e454_ba45_4b85_8205_f3bf777ded24__19[Persentase])</f>
        <v>10</v>
      </c>
    </row>
    <row r="9" spans="1:18" x14ac:dyDescent="0.3">
      <c r="A9">
        <v>7208</v>
      </c>
      <c r="B9">
        <v>86863</v>
      </c>
      <c r="C9">
        <v>65322</v>
      </c>
      <c r="D9">
        <v>25868</v>
      </c>
      <c r="E9">
        <v>4363</v>
      </c>
      <c r="F9">
        <v>1817</v>
      </c>
      <c r="G9">
        <v>3994</v>
      </c>
      <c r="H9">
        <v>111</v>
      </c>
      <c r="I9">
        <v>199</v>
      </c>
      <c r="L9">
        <v>15</v>
      </c>
      <c r="M9">
        <v>5</v>
      </c>
      <c r="N9">
        <f>SUM(progress_assignment_fd68e454_ba45_4b85_8205_f3bf777ded24__19[[#This Row],[OPEN]:[EDITED BY Pengawas]])</f>
        <v>188557</v>
      </c>
      <c r="O9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97331</v>
      </c>
      <c r="P9" s="2">
        <f>progress_assignment_fd68e454_ba45_4b85_8205_f3bf777ded24__19[[#This Row],[Not Draft + Open]]/progress_assignment_fd68e454_ba45_4b85_8205_f3bf777ded24__19[[#This Row],[Total]]*100</f>
        <v>51.618873868379325</v>
      </c>
      <c r="Q9" s="4">
        <f>progress_assignment_fd68e454_ba45_4b85_8205_f3bf777ded24__19[[#This Row],[Persentase]]-progress_assignment_fd68e454_ba45_4b85_8205_f3bf777ded24_18_Juli[[#This Row],[Persentase]]</f>
        <v>1.0699960894196323</v>
      </c>
      <c r="R9">
        <f>RANK(progress_assignment_fd68e454_ba45_4b85_8205_f3bf777ded24__19[[#This Row],[Persentase]],progress_assignment_fd68e454_ba45_4b85_8205_f3bf777ded24__19[Persentase])</f>
        <v>5</v>
      </c>
    </row>
    <row r="10" spans="1:18" x14ac:dyDescent="0.3">
      <c r="A10">
        <v>7209</v>
      </c>
      <c r="B10">
        <v>29171</v>
      </c>
      <c r="C10">
        <v>23644</v>
      </c>
      <c r="D10">
        <v>8753</v>
      </c>
      <c r="E10">
        <v>1164</v>
      </c>
      <c r="F10">
        <v>235</v>
      </c>
      <c r="G10">
        <v>2547</v>
      </c>
      <c r="H10">
        <v>7</v>
      </c>
      <c r="I10">
        <v>131</v>
      </c>
      <c r="J10">
        <v>8</v>
      </c>
      <c r="M10">
        <v>2</v>
      </c>
      <c r="N10">
        <f>SUM(progress_assignment_fd68e454_ba45_4b85_8205_f3bf777ded24__19[[#This Row],[OPEN]:[EDITED BY Pengawas]])</f>
        <v>65662</v>
      </c>
      <c r="O10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35327</v>
      </c>
      <c r="P10" s="2">
        <f>progress_assignment_fd68e454_ba45_4b85_8205_f3bf777ded24__19[[#This Row],[Not Draft + Open]]/progress_assignment_fd68e454_ba45_4b85_8205_f3bf777ded24__19[[#This Row],[Total]]*100</f>
        <v>53.801285370533947</v>
      </c>
      <c r="Q10" s="4">
        <f>progress_assignment_fd68e454_ba45_4b85_8205_f3bf777ded24__19[[#This Row],[Persentase]]-progress_assignment_fd68e454_ba45_4b85_8205_f3bf777ded24_18_Juli[[#This Row],[Persentase]]</f>
        <v>0.94911570613720642</v>
      </c>
      <c r="R10">
        <f>RANK(progress_assignment_fd68e454_ba45_4b85_8205_f3bf777ded24__19[[#This Row],[Persentase]],progress_assignment_fd68e454_ba45_4b85_8205_f3bf777ded24__19[Persentase])</f>
        <v>3</v>
      </c>
    </row>
    <row r="11" spans="1:18" x14ac:dyDescent="0.3">
      <c r="A11">
        <v>7210</v>
      </c>
      <c r="B11">
        <v>56204</v>
      </c>
      <c r="C11">
        <v>48988</v>
      </c>
      <c r="D11">
        <v>8101</v>
      </c>
      <c r="E11">
        <v>1989</v>
      </c>
      <c r="F11">
        <v>137</v>
      </c>
      <c r="G11">
        <v>1753</v>
      </c>
      <c r="H11">
        <v>438</v>
      </c>
      <c r="I11">
        <v>99</v>
      </c>
      <c r="J11">
        <v>8</v>
      </c>
      <c r="L11">
        <v>10</v>
      </c>
      <c r="N11">
        <f>SUM(progress_assignment_fd68e454_ba45_4b85_8205_f3bf777ded24__19[[#This Row],[OPEN]:[EDITED BY Pengawas]])</f>
        <v>117727</v>
      </c>
      <c r="O11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59534</v>
      </c>
      <c r="P11" s="2">
        <f>progress_assignment_fd68e454_ba45_4b85_8205_f3bf777ded24__19[[#This Row],[Not Draft + Open]]/progress_assignment_fd68e454_ba45_4b85_8205_f3bf777ded24__19[[#This Row],[Total]]*100</f>
        <v>50.569537998929725</v>
      </c>
      <c r="Q11" s="4">
        <f>progress_assignment_fd68e454_ba45_4b85_8205_f3bf777ded24__19[[#This Row],[Persentase]]-progress_assignment_fd68e454_ba45_4b85_8205_f3bf777ded24_18_Juli[[#This Row],[Persentase]]</f>
        <v>0.78740663095300789</v>
      </c>
      <c r="R11">
        <f>RANK(progress_assignment_fd68e454_ba45_4b85_8205_f3bf777ded24__19[[#This Row],[Persentase]],progress_assignment_fd68e454_ba45_4b85_8205_f3bf777ded24__19[Persentase])</f>
        <v>6</v>
      </c>
    </row>
    <row r="12" spans="1:18" x14ac:dyDescent="0.3">
      <c r="A12">
        <v>7211</v>
      </c>
      <c r="B12">
        <v>13931</v>
      </c>
      <c r="C12">
        <v>15427</v>
      </c>
      <c r="D12">
        <v>1189</v>
      </c>
      <c r="E12">
        <v>231</v>
      </c>
      <c r="G12">
        <v>121</v>
      </c>
      <c r="H12">
        <v>8</v>
      </c>
      <c r="I12">
        <v>22</v>
      </c>
      <c r="J12">
        <v>24</v>
      </c>
      <c r="M12">
        <v>1</v>
      </c>
      <c r="N12">
        <f>SUM(progress_assignment_fd68e454_ba45_4b85_8205_f3bf777ded24__19[[#This Row],[OPEN]:[EDITED BY Pengawas]])</f>
        <v>30954</v>
      </c>
      <c r="O12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16792</v>
      </c>
      <c r="P12" s="2">
        <f>progress_assignment_fd68e454_ba45_4b85_8205_f3bf777ded24__19[[#This Row],[Not Draft + Open]]/progress_assignment_fd68e454_ba45_4b85_8205_f3bf777ded24__19[[#This Row],[Total]]*100</f>
        <v>54.248239322866191</v>
      </c>
      <c r="Q12" s="4">
        <f>progress_assignment_fd68e454_ba45_4b85_8205_f3bf777ded24__19[[#This Row],[Persentase]]-progress_assignment_fd68e454_ba45_4b85_8205_f3bf777ded24_18_Juli[[#This Row],[Persentase]]</f>
        <v>1.5992434431659674</v>
      </c>
      <c r="R12">
        <f>RANK(progress_assignment_fd68e454_ba45_4b85_8205_f3bf777ded24__19[[#This Row],[Persentase]],progress_assignment_fd68e454_ba45_4b85_8205_f3bf777ded24__19[Persentase])</f>
        <v>2</v>
      </c>
    </row>
    <row r="13" spans="1:18" x14ac:dyDescent="0.3">
      <c r="A13">
        <v>7212</v>
      </c>
      <c r="B13">
        <v>24909</v>
      </c>
      <c r="C13">
        <v>13663</v>
      </c>
      <c r="D13">
        <v>7128</v>
      </c>
      <c r="E13">
        <v>809</v>
      </c>
      <c r="F13">
        <v>35</v>
      </c>
      <c r="G13">
        <v>493</v>
      </c>
      <c r="H13">
        <v>17</v>
      </c>
      <c r="I13">
        <v>66</v>
      </c>
      <c r="J13">
        <v>1</v>
      </c>
      <c r="N13">
        <f>SUM(progress_assignment_fd68e454_ba45_4b85_8205_f3bf777ded24__19[[#This Row],[OPEN]:[EDITED BY Pengawas]])</f>
        <v>47121</v>
      </c>
      <c r="O13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21403</v>
      </c>
      <c r="P13" s="2">
        <f>progress_assignment_fd68e454_ba45_4b85_8205_f3bf777ded24__19[[#This Row],[Not Draft + Open]]/progress_assignment_fd68e454_ba45_4b85_8205_f3bf777ded24__19[[#This Row],[Total]]*100</f>
        <v>45.421362025423903</v>
      </c>
      <c r="Q13" s="4">
        <f>progress_assignment_fd68e454_ba45_4b85_8205_f3bf777ded24__19[[#This Row],[Persentase]]-progress_assignment_fd68e454_ba45_4b85_8205_f3bf777ded24_18_Juli[[#This Row],[Persentase]]</f>
        <v>0.79036100397344455</v>
      </c>
      <c r="R13">
        <f>RANK(progress_assignment_fd68e454_ba45_4b85_8205_f3bf777ded24__19[[#This Row],[Persentase]],progress_assignment_fd68e454_ba45_4b85_8205_f3bf777ded24__19[Persentase])</f>
        <v>11</v>
      </c>
    </row>
    <row r="14" spans="1:18" x14ac:dyDescent="0.3">
      <c r="A14">
        <v>7271</v>
      </c>
      <c r="B14">
        <v>107367</v>
      </c>
      <c r="C14">
        <v>42982</v>
      </c>
      <c r="D14">
        <v>28403</v>
      </c>
      <c r="E14">
        <v>7973</v>
      </c>
      <c r="F14">
        <v>2216</v>
      </c>
      <c r="G14">
        <v>1732</v>
      </c>
      <c r="H14">
        <v>1587</v>
      </c>
      <c r="I14">
        <v>142</v>
      </c>
      <c r="J14">
        <v>36</v>
      </c>
      <c r="K14">
        <v>6</v>
      </c>
      <c r="N14">
        <f>SUM(progress_assignment_fd68e454_ba45_4b85_8205_f3bf777ded24__19[[#This Row],[OPEN]:[EDITED BY Pengawas]])</f>
        <v>192444</v>
      </c>
      <c r="O14">
        <f>progress_assignment_fd68e454_ba45_4b85_8205_f3bf777ded24__19[[#This Row],[EDITED BY Pengawas]]+progress_assignment_fd68e454_ba45_4b85_8205_f3bf777ded24__19[[#This Row],[REJECTED BY Admin Kabupaten]]+progress_assignment_fd68e454_ba45_4b85_8205_f3bf777ded24__19[[#This Row],[REVOKED BY Admin Kabupaten]]+progress_assignment_fd68e454_ba45_4b85_8205_f3bf777ded24__19[[#This Row],[SUBMITTED RESPONDENT]]+progress_assignment_fd68e454_ba45_4b85_8205_f3bf777ded24__19[[#This Row],[REVOKED BY Pengawas]]+progress_assignment_fd68e454_ba45_4b85_8205_f3bf777ded24__19[[#This Row],[EDITED BY Admin Kabupaten]]+progress_assignment_fd68e454_ba45_4b85_8205_f3bf777ded24__19[[#This Row],[REJECTED BY Pengawas]]+progress_assignment_fd68e454_ba45_4b85_8205_f3bf777ded24__19[[#This Row],[COMPLETED BY Admin Kabupaten]]+progress_assignment_fd68e454_ba45_4b85_8205_f3bf777ded24__19[[#This Row],[SUBMITTED BY Pencacah]]+progress_assignment_fd68e454_ba45_4b85_8205_f3bf777ded24__19[[#This Row],[APPROVED BY Pengawas]]</f>
        <v>77104</v>
      </c>
      <c r="P14" s="2">
        <f>progress_assignment_fd68e454_ba45_4b85_8205_f3bf777ded24__19[[#This Row],[Not Draft + Open]]/progress_assignment_fd68e454_ba45_4b85_8205_f3bf777ded24__19[[#This Row],[Total]]*100</f>
        <v>40.065681444991789</v>
      </c>
      <c r="Q14" s="4">
        <f>progress_assignment_fd68e454_ba45_4b85_8205_f3bf777ded24__19[[#This Row],[Persentase]]-progress_assignment_fd68e454_ba45_4b85_8205_f3bf777ded24_18_Juli[[#This Row],[Persentase]]</f>
        <v>0.88678142881401811</v>
      </c>
      <c r="R14">
        <f>RANK(progress_assignment_fd68e454_ba45_4b85_8205_f3bf777ded24__19[[#This Row],[Persentase]],progress_assignment_fd68e454_ba45_4b85_8205_f3bf777ded24__19[Persentase])</f>
        <v>13</v>
      </c>
    </row>
    <row r="16" spans="1:18" x14ac:dyDescent="0.3">
      <c r="A16" s="5">
        <v>7200</v>
      </c>
      <c r="B16" s="5">
        <f>SUM(progress_assignment_fd68e454_ba45_4b85_8205_f3bf777ded24__19[OPEN])</f>
        <v>629439</v>
      </c>
      <c r="C16" s="5">
        <f>SUM(progress_assignment_fd68e454_ba45_4b85_8205_f3bf777ded24__19[APPROVED BY Pengawas])</f>
        <v>431304</v>
      </c>
      <c r="D16" s="5">
        <f>SUM(progress_assignment_fd68e454_ba45_4b85_8205_f3bf777ded24__19[SUBMITTED BY Pencacah])</f>
        <v>178063</v>
      </c>
      <c r="E16" s="5">
        <f>SUM(progress_assignment_fd68e454_ba45_4b85_8205_f3bf777ded24__19[DRAFT])</f>
        <v>37031</v>
      </c>
      <c r="F16" s="5">
        <f>SUM(progress_assignment_fd68e454_ba45_4b85_8205_f3bf777ded24__19[COMPLETED BY Admin Kabupaten])</f>
        <v>5515</v>
      </c>
      <c r="G16" s="5">
        <f>SUM(progress_assignment_fd68e454_ba45_4b85_8205_f3bf777ded24__19[REJECTED BY Pengawas])</f>
        <v>20547</v>
      </c>
      <c r="H16" s="5">
        <f>SUM(progress_assignment_fd68e454_ba45_4b85_8205_f3bf777ded24__19[EDITED BY Admin Kabupaten])</f>
        <v>4187</v>
      </c>
      <c r="I16" s="5">
        <f>SUM(progress_assignment_fd68e454_ba45_4b85_8205_f3bf777ded24__19[REVOKED BY Pengawas])</f>
        <v>1511</v>
      </c>
      <c r="J16" s="5">
        <f>SUM(progress_assignment_fd68e454_ba45_4b85_8205_f3bf777ded24__19[SUBMITTED RESPONDENT])</f>
        <v>269</v>
      </c>
      <c r="K16" s="5">
        <f>SUM(progress_assignment_fd68e454_ba45_4b85_8205_f3bf777ded24__19[REVOKED BY Admin Kabupaten])</f>
        <v>6</v>
      </c>
      <c r="L16" s="5">
        <f>SUM(progress_assignment_fd68e454_ba45_4b85_8205_f3bf777ded24__19[REJECTED BY Admin Kabupaten])</f>
        <v>52</v>
      </c>
      <c r="M16" s="5">
        <f>SUM(progress_assignment_fd68e454_ba45_4b85_8205_f3bf777ded24__19[EDITED BY Pengawas])</f>
        <v>11</v>
      </c>
      <c r="N16" s="5">
        <f>SUM(progress_assignment_fd68e454_ba45_4b85_8205_f3bf777ded24__19[Total])</f>
        <v>1307935</v>
      </c>
      <c r="O16" s="5">
        <f>SUM(progress_assignment_fd68e454_ba45_4b85_8205_f3bf777ded24__19[Not Draft + Open])</f>
        <v>641465</v>
      </c>
      <c r="P16" s="6">
        <f>O16/N16*100</f>
        <v>49.044103873663445</v>
      </c>
      <c r="Q16" s="7">
        <f>P16-'18 Juli'!P16</f>
        <v>0.94607369837612509</v>
      </c>
      <c r="R16" s="5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DC11-DD32-460C-8FC6-2E60C0A8BA6C}">
  <dimension ref="A1:R16"/>
  <sheetViews>
    <sheetView workbookViewId="0">
      <selection activeCell="T23" sqref="T23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32.44140625" hidden="1" customWidth="1"/>
    <col min="7" max="7" width="23" hidden="1" customWidth="1"/>
    <col min="8" max="8" width="27.88671875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s="2" t="s">
        <v>14</v>
      </c>
      <c r="Q1" s="4" t="s">
        <v>16</v>
      </c>
      <c r="R1" t="s">
        <v>17</v>
      </c>
    </row>
    <row r="2" spans="1:18" x14ac:dyDescent="0.3">
      <c r="A2">
        <v>7201</v>
      </c>
      <c r="B2">
        <v>20695</v>
      </c>
      <c r="C2">
        <v>16322</v>
      </c>
      <c r="D2">
        <v>10406</v>
      </c>
      <c r="E2">
        <v>1962</v>
      </c>
      <c r="F2">
        <v>4</v>
      </c>
      <c r="G2">
        <v>925</v>
      </c>
      <c r="H2">
        <v>181</v>
      </c>
      <c r="I2">
        <v>75</v>
      </c>
      <c r="J2">
        <v>90</v>
      </c>
      <c r="M2">
        <v>1</v>
      </c>
      <c r="N2">
        <f>SUM(progress_assignment_fd68e454_ba45_4b85_8205_f3bf777ded24__6[[#This Row],[OPEN]:[EDITED BY Pengawas]])</f>
        <v>50661</v>
      </c>
      <c r="O2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28004</v>
      </c>
      <c r="P2" s="2">
        <f>progress_assignment_fd68e454_ba45_4b85_8205_f3bf777ded24__6[[#This Row],[Not Draft + Open]]/progress_assignment_fd68e454_ba45_4b85_8205_f3bf777ded24__6[[#This Row],[Total]]*100</f>
        <v>55.277234953909314</v>
      </c>
      <c r="Q2" s="4">
        <f>progress_assignment_fd68e454_ba45_4b85_8205_f3bf777ded24__6[[#This Row],[Persentase]]-progress_assignment_fd68e454_ba45_4b85_8205_f3bf777ded24__19[[#This Row],[Persentase]]</f>
        <v>0.84387391206946916</v>
      </c>
      <c r="R2">
        <f>RANK(progress_assignment_fd68e454_ba45_4b85_8205_f3bf777ded24__6[[#This Row],[Persentase]],progress_assignment_fd68e454_ba45_4b85_8205_f3bf777ded24__6[Persentase])</f>
        <v>2</v>
      </c>
    </row>
    <row r="3" spans="1:18" x14ac:dyDescent="0.3">
      <c r="A3">
        <v>7202</v>
      </c>
      <c r="B3">
        <v>73527</v>
      </c>
      <c r="C3">
        <v>36886</v>
      </c>
      <c r="D3">
        <v>41863</v>
      </c>
      <c r="E3">
        <v>4643</v>
      </c>
      <c r="F3">
        <v>13</v>
      </c>
      <c r="G3">
        <v>3190</v>
      </c>
      <c r="H3">
        <v>35</v>
      </c>
      <c r="I3">
        <v>160</v>
      </c>
      <c r="J3">
        <v>4</v>
      </c>
      <c r="M3">
        <v>1</v>
      </c>
      <c r="N3">
        <f>SUM(progress_assignment_fd68e454_ba45_4b85_8205_f3bf777ded24__6[[#This Row],[OPEN]:[EDITED BY Pengawas]])</f>
        <v>160322</v>
      </c>
      <c r="O3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82152</v>
      </c>
      <c r="P3" s="2">
        <f>progress_assignment_fd68e454_ba45_4b85_8205_f3bf777ded24__6[[#This Row],[Not Draft + Open]]/progress_assignment_fd68e454_ba45_4b85_8205_f3bf777ded24__6[[#This Row],[Total]]*100</f>
        <v>51.241875725103228</v>
      </c>
      <c r="Q3" s="4">
        <f>progress_assignment_fd68e454_ba45_4b85_8205_f3bf777ded24__6[[#This Row],[Persentase]]-progress_assignment_fd68e454_ba45_4b85_8205_f3bf777ded24__19[[#This Row],[Persentase]]</f>
        <v>0.84068497344124182</v>
      </c>
      <c r="R3">
        <f>RANK(progress_assignment_fd68e454_ba45_4b85_8205_f3bf777ded24__6[[#This Row],[Persentase]],progress_assignment_fd68e454_ba45_4b85_8205_f3bf777ded24__6[Persentase])</f>
        <v>8</v>
      </c>
    </row>
    <row r="4" spans="1:18" x14ac:dyDescent="0.3">
      <c r="A4">
        <v>7203</v>
      </c>
      <c r="B4">
        <v>33080</v>
      </c>
      <c r="C4">
        <v>14572</v>
      </c>
      <c r="D4">
        <v>11305</v>
      </c>
      <c r="E4">
        <v>2568</v>
      </c>
      <c r="F4">
        <v>69</v>
      </c>
      <c r="G4">
        <v>386</v>
      </c>
      <c r="H4">
        <v>32</v>
      </c>
      <c r="I4">
        <v>25</v>
      </c>
      <c r="L4">
        <v>1</v>
      </c>
      <c r="N4">
        <f>SUM(progress_assignment_fd68e454_ba45_4b85_8205_f3bf777ded24__6[[#This Row],[OPEN]:[EDITED BY Pengawas]])</f>
        <v>62038</v>
      </c>
      <c r="O4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26390</v>
      </c>
      <c r="P4" s="2">
        <f>progress_assignment_fd68e454_ba45_4b85_8205_f3bf777ded24__6[[#This Row],[Not Draft + Open]]/progress_assignment_fd68e454_ba45_4b85_8205_f3bf777ded24__6[[#This Row],[Total]]*100</f>
        <v>42.538444179373933</v>
      </c>
      <c r="Q4" s="4">
        <f>progress_assignment_fd68e454_ba45_4b85_8205_f3bf777ded24__6[[#This Row],[Persentase]]-progress_assignment_fd68e454_ba45_4b85_8205_f3bf777ded24__19[[#This Row],[Persentase]]</f>
        <v>0.9244739488067566</v>
      </c>
      <c r="R4">
        <f>RANK(progress_assignment_fd68e454_ba45_4b85_8205_f3bf777ded24__6[[#This Row],[Persentase]],progress_assignment_fd68e454_ba45_4b85_8205_f3bf777ded24__6[Persentase])</f>
        <v>12</v>
      </c>
    </row>
    <row r="5" spans="1:18" x14ac:dyDescent="0.3">
      <c r="A5">
        <v>7204</v>
      </c>
      <c r="B5">
        <v>53590</v>
      </c>
      <c r="C5">
        <v>39473</v>
      </c>
      <c r="D5">
        <v>15756</v>
      </c>
      <c r="E5">
        <v>3793</v>
      </c>
      <c r="F5">
        <v>23</v>
      </c>
      <c r="G5">
        <v>2632</v>
      </c>
      <c r="H5">
        <v>473</v>
      </c>
      <c r="I5">
        <v>272</v>
      </c>
      <c r="J5">
        <v>47</v>
      </c>
      <c r="L5">
        <v>3</v>
      </c>
      <c r="N5">
        <f>SUM(progress_assignment_fd68e454_ba45_4b85_8205_f3bf777ded24__6[[#This Row],[OPEN]:[EDITED BY Pengawas]])</f>
        <v>116062</v>
      </c>
      <c r="O5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58679</v>
      </c>
      <c r="P5" s="2">
        <f>progress_assignment_fd68e454_ba45_4b85_8205_f3bf777ded24__6[[#This Row],[Not Draft + Open]]/progress_assignment_fd68e454_ba45_4b85_8205_f3bf777ded24__6[[#This Row],[Total]]*100</f>
        <v>50.558322276024882</v>
      </c>
      <c r="Q5" s="4">
        <f>progress_assignment_fd68e454_ba45_4b85_8205_f3bf777ded24__6[[#This Row],[Persentase]]-progress_assignment_fd68e454_ba45_4b85_8205_f3bf777ded24__19[[#This Row],[Persentase]]</f>
        <v>0.45435064604308906</v>
      </c>
      <c r="R5">
        <f>RANK(progress_assignment_fd68e454_ba45_4b85_8205_f3bf777ded24__6[[#This Row],[Persentase]],progress_assignment_fd68e454_ba45_4b85_8205_f3bf777ded24__6[Persentase])</f>
        <v>9</v>
      </c>
    </row>
    <row r="6" spans="1:18" x14ac:dyDescent="0.3">
      <c r="A6">
        <v>7205</v>
      </c>
      <c r="B6">
        <v>54282</v>
      </c>
      <c r="C6">
        <v>55678</v>
      </c>
      <c r="D6">
        <v>7803</v>
      </c>
      <c r="E6">
        <v>2611</v>
      </c>
      <c r="F6">
        <v>1001</v>
      </c>
      <c r="G6">
        <v>821</v>
      </c>
      <c r="H6">
        <v>784</v>
      </c>
      <c r="I6">
        <v>161</v>
      </c>
      <c r="J6">
        <v>5</v>
      </c>
      <c r="L6">
        <v>36</v>
      </c>
      <c r="N6">
        <f>SUM(progress_assignment_fd68e454_ba45_4b85_8205_f3bf777ded24__6[[#This Row],[OPEN]:[EDITED BY Pengawas]])</f>
        <v>123182</v>
      </c>
      <c r="O6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66289</v>
      </c>
      <c r="P6" s="2">
        <f>progress_assignment_fd68e454_ba45_4b85_8205_f3bf777ded24__6[[#This Row],[Not Draft + Open]]/progress_assignment_fd68e454_ba45_4b85_8205_f3bf777ded24__6[[#This Row],[Total]]*100</f>
        <v>53.813868909418581</v>
      </c>
      <c r="Q6" s="4">
        <f>progress_assignment_fd68e454_ba45_4b85_8205_f3bf777ded24__6[[#This Row],[Persentase]]-progress_assignment_fd68e454_ba45_4b85_8205_f3bf777ded24__19[[#This Row],[Persentase]]</f>
        <v>1.0675123683190577</v>
      </c>
      <c r="R6">
        <f>RANK(progress_assignment_fd68e454_ba45_4b85_8205_f3bf777ded24__6[[#This Row],[Persentase]],progress_assignment_fd68e454_ba45_4b85_8205_f3bf777ded24__6[Persentase])</f>
        <v>4</v>
      </c>
    </row>
    <row r="7" spans="1:18" x14ac:dyDescent="0.3">
      <c r="A7">
        <v>7206</v>
      </c>
      <c r="B7">
        <v>41260</v>
      </c>
      <c r="C7">
        <v>41021</v>
      </c>
      <c r="D7">
        <v>4396</v>
      </c>
      <c r="E7">
        <v>2634</v>
      </c>
      <c r="G7">
        <v>751</v>
      </c>
      <c r="H7">
        <v>533</v>
      </c>
      <c r="I7">
        <v>112</v>
      </c>
      <c r="M7">
        <v>1</v>
      </c>
      <c r="N7">
        <f>SUM(progress_assignment_fd68e454_ba45_4b85_8205_f3bf777ded24__6[[#This Row],[OPEN]:[EDITED BY Pengawas]])</f>
        <v>90708</v>
      </c>
      <c r="O7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46814</v>
      </c>
      <c r="P7" s="2">
        <f>progress_assignment_fd68e454_ba45_4b85_8205_f3bf777ded24__6[[#This Row],[Not Draft + Open]]/progress_assignment_fd68e454_ba45_4b85_8205_f3bf777ded24__6[[#This Row],[Total]]*100</f>
        <v>51.609560347488646</v>
      </c>
      <c r="Q7" s="4">
        <f>progress_assignment_fd68e454_ba45_4b85_8205_f3bf777ded24__6[[#This Row],[Persentase]]-progress_assignment_fd68e454_ba45_4b85_8205_f3bf777ded24__19[[#This Row],[Persentase]]</f>
        <v>1.1140278995361825</v>
      </c>
      <c r="R7">
        <f>RANK(progress_assignment_fd68e454_ba45_4b85_8205_f3bf777ded24__6[[#This Row],[Persentase]],progress_assignment_fd68e454_ba45_4b85_8205_f3bf777ded24__6[Persentase])</f>
        <v>6</v>
      </c>
    </row>
    <row r="8" spans="1:18" x14ac:dyDescent="0.3">
      <c r="A8">
        <v>7207</v>
      </c>
      <c r="B8">
        <v>29289</v>
      </c>
      <c r="C8">
        <v>26181</v>
      </c>
      <c r="D8">
        <v>5359</v>
      </c>
      <c r="E8">
        <v>2949</v>
      </c>
      <c r="F8">
        <v>1</v>
      </c>
      <c r="G8">
        <v>872</v>
      </c>
      <c r="H8">
        <v>119</v>
      </c>
      <c r="I8">
        <v>64</v>
      </c>
      <c r="J8">
        <v>46</v>
      </c>
      <c r="L8">
        <v>1</v>
      </c>
      <c r="N8">
        <f>SUM(progress_assignment_fd68e454_ba45_4b85_8205_f3bf777ded24__6[[#This Row],[OPEN]:[EDITED BY Pengawas]])</f>
        <v>64881</v>
      </c>
      <c r="O8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32643</v>
      </c>
      <c r="P8" s="2">
        <f>progress_assignment_fd68e454_ba45_4b85_8205_f3bf777ded24__6[[#This Row],[Not Draft + Open]]/progress_assignment_fd68e454_ba45_4b85_8205_f3bf777ded24__6[[#This Row],[Total]]*100</f>
        <v>50.312109862671662</v>
      </c>
      <c r="Q8" s="4">
        <f>progress_assignment_fd68e454_ba45_4b85_8205_f3bf777ded24__6[[#This Row],[Persentase]]-progress_assignment_fd68e454_ba45_4b85_8205_f3bf777ded24__19[[#This Row],[Persentase]]</f>
        <v>0.93932367220283908</v>
      </c>
      <c r="R8">
        <f>RANK(progress_assignment_fd68e454_ba45_4b85_8205_f3bf777ded24__6[[#This Row],[Persentase]],progress_assignment_fd68e454_ba45_4b85_8205_f3bf777ded24__6[Persentase])</f>
        <v>10</v>
      </c>
    </row>
    <row r="9" spans="1:18" x14ac:dyDescent="0.3">
      <c r="A9">
        <v>7208</v>
      </c>
      <c r="B9">
        <v>84994</v>
      </c>
      <c r="C9">
        <v>67351</v>
      </c>
      <c r="D9">
        <v>25859</v>
      </c>
      <c r="E9">
        <v>4549</v>
      </c>
      <c r="F9">
        <v>1822</v>
      </c>
      <c r="G9">
        <v>4252</v>
      </c>
      <c r="H9">
        <v>112</v>
      </c>
      <c r="I9">
        <v>198</v>
      </c>
      <c r="L9">
        <v>15</v>
      </c>
      <c r="M9">
        <v>5</v>
      </c>
      <c r="N9">
        <f>SUM(progress_assignment_fd68e454_ba45_4b85_8205_f3bf777ded24__6[[#This Row],[OPEN]:[EDITED BY Pengawas]])</f>
        <v>189157</v>
      </c>
      <c r="O9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99614</v>
      </c>
      <c r="P9" s="2">
        <f>progress_assignment_fd68e454_ba45_4b85_8205_f3bf777ded24__6[[#This Row],[Not Draft + Open]]/progress_assignment_fd68e454_ba45_4b85_8205_f3bf777ded24__6[[#This Row],[Total]]*100</f>
        <v>52.662074361509227</v>
      </c>
      <c r="Q9" s="4">
        <f>progress_assignment_fd68e454_ba45_4b85_8205_f3bf777ded24__6[[#This Row],[Persentase]]-progress_assignment_fd68e454_ba45_4b85_8205_f3bf777ded24__19[[#This Row],[Persentase]]</f>
        <v>1.0432004931299019</v>
      </c>
      <c r="R9">
        <f>RANK(progress_assignment_fd68e454_ba45_4b85_8205_f3bf777ded24__6[[#This Row],[Persentase]],progress_assignment_fd68e454_ba45_4b85_8205_f3bf777ded24__6[Persentase])</f>
        <v>5</v>
      </c>
    </row>
    <row r="10" spans="1:18" x14ac:dyDescent="0.3">
      <c r="A10">
        <v>7209</v>
      </c>
      <c r="B10">
        <v>28474</v>
      </c>
      <c r="C10">
        <v>24563</v>
      </c>
      <c r="D10">
        <v>8436</v>
      </c>
      <c r="E10">
        <v>1246</v>
      </c>
      <c r="F10">
        <v>311</v>
      </c>
      <c r="G10">
        <v>2717</v>
      </c>
      <c r="H10">
        <v>9</v>
      </c>
      <c r="I10">
        <v>126</v>
      </c>
      <c r="J10">
        <v>8</v>
      </c>
      <c r="M10">
        <v>2</v>
      </c>
      <c r="N10">
        <f>SUM(progress_assignment_fd68e454_ba45_4b85_8205_f3bf777ded24__6[[#This Row],[OPEN]:[EDITED BY Pengawas]])</f>
        <v>65892</v>
      </c>
      <c r="O10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36172</v>
      </c>
      <c r="P10" s="2">
        <f>progress_assignment_fd68e454_ba45_4b85_8205_f3bf777ded24__6[[#This Row],[Not Draft + Open]]/progress_assignment_fd68e454_ba45_4b85_8205_f3bf777ded24__6[[#This Row],[Total]]*100</f>
        <v>54.89589024464275</v>
      </c>
      <c r="Q10" s="4">
        <f>progress_assignment_fd68e454_ba45_4b85_8205_f3bf777ded24__6[[#This Row],[Persentase]]-progress_assignment_fd68e454_ba45_4b85_8205_f3bf777ded24__19[[#This Row],[Persentase]]</f>
        <v>1.0946048741088035</v>
      </c>
      <c r="R10">
        <f>RANK(progress_assignment_fd68e454_ba45_4b85_8205_f3bf777ded24__6[[#This Row],[Persentase]],progress_assignment_fd68e454_ba45_4b85_8205_f3bf777ded24__6[Persentase])</f>
        <v>3</v>
      </c>
    </row>
    <row r="11" spans="1:18" x14ac:dyDescent="0.3">
      <c r="A11">
        <v>7210</v>
      </c>
      <c r="B11">
        <v>55130</v>
      </c>
      <c r="C11">
        <v>50042</v>
      </c>
      <c r="D11">
        <v>8345</v>
      </c>
      <c r="E11">
        <v>2048</v>
      </c>
      <c r="F11">
        <v>137</v>
      </c>
      <c r="G11">
        <v>1674</v>
      </c>
      <c r="H11">
        <v>438</v>
      </c>
      <c r="I11">
        <v>118</v>
      </c>
      <c r="J11">
        <v>8</v>
      </c>
      <c r="L11">
        <v>10</v>
      </c>
      <c r="N11">
        <f>SUM(progress_assignment_fd68e454_ba45_4b85_8205_f3bf777ded24__6[[#This Row],[OPEN]:[EDITED BY Pengawas]])</f>
        <v>117950</v>
      </c>
      <c r="O11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60772</v>
      </c>
      <c r="P11" s="2">
        <f>progress_assignment_fd68e454_ba45_4b85_8205_f3bf777ded24__6[[#This Row],[Not Draft + Open]]/progress_assignment_fd68e454_ba45_4b85_8205_f3bf777ded24__6[[#This Row],[Total]]*100</f>
        <v>51.523526918185667</v>
      </c>
      <c r="Q11" s="4">
        <f>progress_assignment_fd68e454_ba45_4b85_8205_f3bf777ded24__6[[#This Row],[Persentase]]-progress_assignment_fd68e454_ba45_4b85_8205_f3bf777ded24__19[[#This Row],[Persentase]]</f>
        <v>0.95398891925594143</v>
      </c>
      <c r="R11">
        <f>RANK(progress_assignment_fd68e454_ba45_4b85_8205_f3bf777ded24__6[[#This Row],[Persentase]],progress_assignment_fd68e454_ba45_4b85_8205_f3bf777ded24__6[Persentase])</f>
        <v>7</v>
      </c>
    </row>
    <row r="12" spans="1:18" x14ac:dyDescent="0.3">
      <c r="A12">
        <v>7211</v>
      </c>
      <c r="B12">
        <v>13487</v>
      </c>
      <c r="C12">
        <v>15936</v>
      </c>
      <c r="D12">
        <v>1233</v>
      </c>
      <c r="E12">
        <v>265</v>
      </c>
      <c r="G12">
        <v>122</v>
      </c>
      <c r="H12">
        <v>8</v>
      </c>
      <c r="I12">
        <v>28</v>
      </c>
      <c r="J12">
        <v>24</v>
      </c>
      <c r="M12">
        <v>1</v>
      </c>
      <c r="N12">
        <f>SUM(progress_assignment_fd68e454_ba45_4b85_8205_f3bf777ded24__6[[#This Row],[OPEN]:[EDITED BY Pengawas]])</f>
        <v>31104</v>
      </c>
      <c r="O12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17352</v>
      </c>
      <c r="P12" s="2">
        <f>progress_assignment_fd68e454_ba45_4b85_8205_f3bf777ded24__6[[#This Row],[Not Draft + Open]]/progress_assignment_fd68e454_ba45_4b85_8205_f3bf777ded24__6[[#This Row],[Total]]*100</f>
        <v>55.787037037037038</v>
      </c>
      <c r="Q12" s="4">
        <f>progress_assignment_fd68e454_ba45_4b85_8205_f3bf777ded24__6[[#This Row],[Persentase]]-progress_assignment_fd68e454_ba45_4b85_8205_f3bf777ded24__19[[#This Row],[Persentase]]</f>
        <v>1.5387977141708475</v>
      </c>
      <c r="R12">
        <f>RANK(progress_assignment_fd68e454_ba45_4b85_8205_f3bf777ded24__6[[#This Row],[Persentase]],progress_assignment_fd68e454_ba45_4b85_8205_f3bf777ded24__6[Persentase])</f>
        <v>1</v>
      </c>
    </row>
    <row r="13" spans="1:18" x14ac:dyDescent="0.3">
      <c r="A13">
        <v>7212</v>
      </c>
      <c r="B13">
        <v>24547</v>
      </c>
      <c r="C13">
        <v>14095</v>
      </c>
      <c r="D13">
        <v>7152</v>
      </c>
      <c r="E13">
        <v>816</v>
      </c>
      <c r="F13">
        <v>35</v>
      </c>
      <c r="G13">
        <v>500</v>
      </c>
      <c r="H13">
        <v>17</v>
      </c>
      <c r="I13">
        <v>68</v>
      </c>
      <c r="J13">
        <v>1</v>
      </c>
      <c r="N13">
        <f>SUM(progress_assignment_fd68e454_ba45_4b85_8205_f3bf777ded24__6[[#This Row],[OPEN]:[EDITED BY Pengawas]])</f>
        <v>47231</v>
      </c>
      <c r="O13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21868</v>
      </c>
      <c r="P13" s="2">
        <f>progress_assignment_fd68e454_ba45_4b85_8205_f3bf777ded24__6[[#This Row],[Not Draft + Open]]/progress_assignment_fd68e454_ba45_4b85_8205_f3bf777ded24__6[[#This Row],[Total]]*100</f>
        <v>46.300099510914443</v>
      </c>
      <c r="Q13" s="4">
        <f>progress_assignment_fd68e454_ba45_4b85_8205_f3bf777ded24__6[[#This Row],[Persentase]]-progress_assignment_fd68e454_ba45_4b85_8205_f3bf777ded24__19[[#This Row],[Persentase]]</f>
        <v>0.87873748549053943</v>
      </c>
      <c r="R13">
        <f>RANK(progress_assignment_fd68e454_ba45_4b85_8205_f3bf777ded24__6[[#This Row],[Persentase]],progress_assignment_fd68e454_ba45_4b85_8205_f3bf777ded24__6[Persentase])</f>
        <v>11</v>
      </c>
    </row>
    <row r="14" spans="1:18" x14ac:dyDescent="0.3">
      <c r="A14">
        <v>7271</v>
      </c>
      <c r="B14">
        <v>105876</v>
      </c>
      <c r="C14">
        <v>48099</v>
      </c>
      <c r="D14">
        <v>25213</v>
      </c>
      <c r="E14">
        <v>7923</v>
      </c>
      <c r="F14">
        <v>2215</v>
      </c>
      <c r="G14">
        <v>2117</v>
      </c>
      <c r="H14">
        <v>1585</v>
      </c>
      <c r="I14">
        <v>153</v>
      </c>
      <c r="J14">
        <v>37</v>
      </c>
      <c r="K14">
        <v>6</v>
      </c>
      <c r="N14">
        <f>SUM(progress_assignment_fd68e454_ba45_4b85_8205_f3bf777ded24__6[[#This Row],[OPEN]:[EDITED BY Pengawas]])</f>
        <v>193224</v>
      </c>
      <c r="O14">
        <f>progress_assignment_fd68e454_ba45_4b85_8205_f3bf777ded24__6[[#This Row],[EDITED BY Pengawas]]+progress_assignment_fd68e454_ba45_4b85_8205_f3bf777ded24__6[[#This Row],[REJECTED BY Admin Kabupaten]]+progress_assignment_fd68e454_ba45_4b85_8205_f3bf777ded24__6[[#This Row],[REVOKED BY Admin Kabupaten]]+progress_assignment_fd68e454_ba45_4b85_8205_f3bf777ded24__6[[#This Row],[SUBMITTED RESPONDENT]]+progress_assignment_fd68e454_ba45_4b85_8205_f3bf777ded24__6[[#This Row],[REVOKED BY Pengawas]]+progress_assignment_fd68e454_ba45_4b85_8205_f3bf777ded24__6[[#This Row],[EDITED BY Admin Kabupaten]]+progress_assignment_fd68e454_ba45_4b85_8205_f3bf777ded24__6[[#This Row],[REJECTED BY Pengawas]]+progress_assignment_fd68e454_ba45_4b85_8205_f3bf777ded24__6[[#This Row],[COMPLETED BY Admin Kabupaten]]+progress_assignment_fd68e454_ba45_4b85_8205_f3bf777ded24__6[[#This Row],[SUBMITTED BY Pencacah]]+progress_assignment_fd68e454_ba45_4b85_8205_f3bf777ded24__6[[#This Row],[APPROVED BY Pengawas]]</f>
        <v>79425</v>
      </c>
      <c r="P14" s="2">
        <f>progress_assignment_fd68e454_ba45_4b85_8205_f3bf777ded24__6[[#This Row],[Not Draft + Open]]/progress_assignment_fd68e454_ba45_4b85_8205_f3bf777ded24__6[[#This Row],[Total]]*100</f>
        <v>41.105142218357969</v>
      </c>
      <c r="Q14" s="4">
        <f>progress_assignment_fd68e454_ba45_4b85_8205_f3bf777ded24__6[[#This Row],[Persentase]]-progress_assignment_fd68e454_ba45_4b85_8205_f3bf777ded24__19[[#This Row],[Persentase]]</f>
        <v>1.03946077336618</v>
      </c>
      <c r="R14">
        <f>RANK(progress_assignment_fd68e454_ba45_4b85_8205_f3bf777ded24__6[[#This Row],[Persentase]],progress_assignment_fd68e454_ba45_4b85_8205_f3bf777ded24__6[Persentase])</f>
        <v>13</v>
      </c>
    </row>
    <row r="16" spans="1:18" x14ac:dyDescent="0.3">
      <c r="A16" s="5">
        <v>7200</v>
      </c>
      <c r="B16" s="5">
        <f>SUM(progress_assignment_fd68e454_ba45_4b85_8205_f3bf777ded24__6[OPEN])</f>
        <v>618231</v>
      </c>
      <c r="C16" s="5">
        <f>SUM(progress_assignment_fd68e454_ba45_4b85_8205_f3bf777ded24__6[APPROVED BY Pengawas])</f>
        <v>450219</v>
      </c>
      <c r="D16" s="5">
        <f>SUM(progress_assignment_fd68e454_ba45_4b85_8205_f3bf777ded24__6[SUBMITTED BY Pencacah])</f>
        <v>173126</v>
      </c>
      <c r="E16" s="5">
        <f>SUM(progress_assignment_fd68e454_ba45_4b85_8205_f3bf777ded24__6[DRAFT])</f>
        <v>38007</v>
      </c>
      <c r="F16" s="5">
        <f>SUM(progress_assignment_fd68e454_ba45_4b85_8205_f3bf777ded24__6[COMPLETED BY Admin Kabupaten])</f>
        <v>5631</v>
      </c>
      <c r="G16" s="5">
        <f>SUM(progress_assignment_fd68e454_ba45_4b85_8205_f3bf777ded24__6[REJECTED BY Pengawas])</f>
        <v>20959</v>
      </c>
      <c r="H16" s="5">
        <f>SUM(progress_assignment_fd68e454_ba45_4b85_8205_f3bf777ded24__6[EDITED BY Admin Kabupaten])</f>
        <v>4326</v>
      </c>
      <c r="I16" s="5">
        <f>SUM(progress_assignment_fd68e454_ba45_4b85_8205_f3bf777ded24__6[REVOKED BY Pengawas])</f>
        <v>1560</v>
      </c>
      <c r="J16" s="5">
        <f>SUM(progress_assignment_fd68e454_ba45_4b85_8205_f3bf777ded24__6[SUBMITTED RESPONDENT])</f>
        <v>270</v>
      </c>
      <c r="K16" s="5">
        <f>SUM(progress_assignment_fd68e454_ba45_4b85_8205_f3bf777ded24__6[REVOKED BY Admin Kabupaten])</f>
        <v>6</v>
      </c>
      <c r="L16" s="5">
        <f>SUM(progress_assignment_fd68e454_ba45_4b85_8205_f3bf777ded24__6[REJECTED BY Admin Kabupaten])</f>
        <v>66</v>
      </c>
      <c r="M16" s="5">
        <f>SUM(progress_assignment_fd68e454_ba45_4b85_8205_f3bf777ded24__6[EDITED BY Pengawas])</f>
        <v>11</v>
      </c>
      <c r="N16" s="5">
        <f>SUM(progress_assignment_fd68e454_ba45_4b85_8205_f3bf777ded24__6[Total])</f>
        <v>1312412</v>
      </c>
      <c r="O16" s="5">
        <f>SUM(progress_assignment_fd68e454_ba45_4b85_8205_f3bf777ded24__6[Not Draft + Open])</f>
        <v>656174</v>
      </c>
      <c r="P16" s="6">
        <f>O16/N16*100</f>
        <v>49.997561741282468</v>
      </c>
      <c r="Q16" s="7">
        <f>P16-'19 Juli'!P16</f>
        <v>0.95345786761902218</v>
      </c>
      <c r="R16" s="5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74234-AC9D-4AAF-862C-05FB68F7C427}">
  <dimension ref="A1:R16"/>
  <sheetViews>
    <sheetView workbookViewId="0">
      <selection activeCell="N1" sqref="N1:R1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32.44140625" hidden="1" customWidth="1"/>
    <col min="8" max="8" width="27.88671875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t="s">
        <v>14</v>
      </c>
      <c r="Q1" t="s">
        <v>16</v>
      </c>
      <c r="R1" t="s">
        <v>17</v>
      </c>
    </row>
    <row r="2" spans="1:18" x14ac:dyDescent="0.3">
      <c r="A2">
        <v>7201</v>
      </c>
      <c r="B2">
        <v>20159</v>
      </c>
      <c r="C2">
        <v>16896</v>
      </c>
      <c r="D2">
        <v>10381</v>
      </c>
      <c r="E2">
        <v>2078</v>
      </c>
      <c r="F2">
        <v>964</v>
      </c>
      <c r="G2">
        <v>4</v>
      </c>
      <c r="H2">
        <v>188</v>
      </c>
      <c r="I2">
        <v>73</v>
      </c>
      <c r="J2">
        <v>90</v>
      </c>
      <c r="M2">
        <v>1</v>
      </c>
      <c r="N2">
        <f>SUM(progress_assignment_fd68e454_ba45_4b85_8205_f3bf777ded24__20[[#This Row],[OPEN]:[EDITED BY Pengawas]])</f>
        <v>50834</v>
      </c>
      <c r="O2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28597</v>
      </c>
      <c r="P2" s="2">
        <f>progress_assignment_fd68e454_ba45_4b85_8205_f3bf777ded24__20[[#This Row],[Not Draft + Open]]/progress_assignment_fd68e454_ba45_4b85_8205_f3bf777ded24__20[[#This Row],[Total]]*100</f>
        <v>56.255655663532281</v>
      </c>
      <c r="Q2" s="4">
        <f>progress_assignment_fd68e454_ba45_4b85_8205_f3bf777ded24__20[[#This Row],[Persentase]]-progress_assignment_fd68e454_ba45_4b85_8205_f3bf777ded24__6[[#This Row],[Persentase]]</f>
        <v>0.97842070962296646</v>
      </c>
      <c r="R2">
        <f>RANK(progress_assignment_fd68e454_ba45_4b85_8205_f3bf777ded24__20[[#This Row],[Persentase]],progress_assignment_fd68e454_ba45_4b85_8205_f3bf777ded24__20[Persentase])</f>
        <v>2</v>
      </c>
    </row>
    <row r="3" spans="1:18" x14ac:dyDescent="0.3">
      <c r="A3">
        <v>7202</v>
      </c>
      <c r="B3">
        <v>72179</v>
      </c>
      <c r="C3">
        <v>38752</v>
      </c>
      <c r="D3">
        <v>41767</v>
      </c>
      <c r="E3">
        <v>4713</v>
      </c>
      <c r="F3">
        <v>3207</v>
      </c>
      <c r="G3">
        <v>13</v>
      </c>
      <c r="H3">
        <v>35</v>
      </c>
      <c r="I3">
        <v>170</v>
      </c>
      <c r="J3">
        <v>4</v>
      </c>
      <c r="M3">
        <v>1</v>
      </c>
      <c r="N3">
        <f>SUM(progress_assignment_fd68e454_ba45_4b85_8205_f3bf777ded24__20[[#This Row],[OPEN]:[EDITED BY Pengawas]])</f>
        <v>160841</v>
      </c>
      <c r="O3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83949</v>
      </c>
      <c r="P3" s="2">
        <f>progress_assignment_fd68e454_ba45_4b85_8205_f3bf777ded24__20[[#This Row],[Not Draft + Open]]/progress_assignment_fd68e454_ba45_4b85_8205_f3bf777ded24__20[[#This Row],[Total]]*100</f>
        <v>52.193781436325317</v>
      </c>
      <c r="Q3" s="4">
        <f>progress_assignment_fd68e454_ba45_4b85_8205_f3bf777ded24__20[[#This Row],[Persentase]]-progress_assignment_fd68e454_ba45_4b85_8205_f3bf777ded24__6[[#This Row],[Persentase]]</f>
        <v>0.95190571122208922</v>
      </c>
      <c r="R3">
        <f>RANK(progress_assignment_fd68e454_ba45_4b85_8205_f3bf777ded24__20[[#This Row],[Persentase]],progress_assignment_fd68e454_ba45_4b85_8205_f3bf777ded24__20[Persentase])</f>
        <v>8</v>
      </c>
    </row>
    <row r="4" spans="1:18" x14ac:dyDescent="0.3">
      <c r="A4">
        <v>7203</v>
      </c>
      <c r="B4">
        <v>32690</v>
      </c>
      <c r="C4">
        <v>15461</v>
      </c>
      <c r="D4">
        <v>11022</v>
      </c>
      <c r="E4">
        <v>2533</v>
      </c>
      <c r="F4">
        <v>515</v>
      </c>
      <c r="G4">
        <v>71</v>
      </c>
      <c r="H4">
        <v>33</v>
      </c>
      <c r="I4">
        <v>25</v>
      </c>
      <c r="L4">
        <v>1</v>
      </c>
      <c r="N4">
        <f>SUM(progress_assignment_fd68e454_ba45_4b85_8205_f3bf777ded24__20[[#This Row],[OPEN]:[EDITED BY Pengawas]])</f>
        <v>62351</v>
      </c>
      <c r="O4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27128</v>
      </c>
      <c r="P4" s="2">
        <f>progress_assignment_fd68e454_ba45_4b85_8205_f3bf777ded24__20[[#This Row],[Not Draft + Open]]/progress_assignment_fd68e454_ba45_4b85_8205_f3bf777ded24__20[[#This Row],[Total]]*100</f>
        <v>43.508524321983607</v>
      </c>
      <c r="Q4" s="4">
        <f>progress_assignment_fd68e454_ba45_4b85_8205_f3bf777ded24__20[[#This Row],[Persentase]]-progress_assignment_fd68e454_ba45_4b85_8205_f3bf777ded24__6[[#This Row],[Persentase]]</f>
        <v>0.97008014260967457</v>
      </c>
      <c r="R4">
        <f>RANK(progress_assignment_fd68e454_ba45_4b85_8205_f3bf777ded24__20[[#This Row],[Persentase]],progress_assignment_fd68e454_ba45_4b85_8205_f3bf777ded24__20[Persentase])</f>
        <v>12</v>
      </c>
    </row>
    <row r="5" spans="1:18" x14ac:dyDescent="0.3">
      <c r="A5">
        <v>7204</v>
      </c>
      <c r="B5">
        <v>52514</v>
      </c>
      <c r="C5">
        <v>42026</v>
      </c>
      <c r="D5">
        <v>14076</v>
      </c>
      <c r="E5">
        <v>3914</v>
      </c>
      <c r="F5">
        <v>2911</v>
      </c>
      <c r="G5">
        <v>23</v>
      </c>
      <c r="H5">
        <v>468</v>
      </c>
      <c r="I5">
        <v>302</v>
      </c>
      <c r="J5">
        <v>48</v>
      </c>
      <c r="L5">
        <v>3</v>
      </c>
      <c r="N5">
        <f>SUM(progress_assignment_fd68e454_ba45_4b85_8205_f3bf777ded24__20[[#This Row],[OPEN]:[EDITED BY Pengawas]])</f>
        <v>116285</v>
      </c>
      <c r="O5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59857</v>
      </c>
      <c r="P5" s="2">
        <f>progress_assignment_fd68e454_ba45_4b85_8205_f3bf777ded24__20[[#This Row],[Not Draft + Open]]/progress_assignment_fd68e454_ba45_4b85_8205_f3bf777ded24__20[[#This Row],[Total]]*100</f>
        <v>51.474394805864897</v>
      </c>
      <c r="Q5" s="4">
        <f>progress_assignment_fd68e454_ba45_4b85_8205_f3bf777ded24__20[[#This Row],[Persentase]]-progress_assignment_fd68e454_ba45_4b85_8205_f3bf777ded24__6[[#This Row],[Persentase]]</f>
        <v>0.91607252984001519</v>
      </c>
      <c r="R5">
        <f>RANK(progress_assignment_fd68e454_ba45_4b85_8205_f3bf777ded24__20[[#This Row],[Persentase]],progress_assignment_fd68e454_ba45_4b85_8205_f3bf777ded24__20[Persentase])</f>
        <v>9</v>
      </c>
    </row>
    <row r="6" spans="1:18" x14ac:dyDescent="0.3">
      <c r="A6">
        <v>7205</v>
      </c>
      <c r="B6">
        <v>52962</v>
      </c>
      <c r="C6">
        <v>57194</v>
      </c>
      <c r="D6">
        <v>7984</v>
      </c>
      <c r="E6">
        <v>2710</v>
      </c>
      <c r="F6">
        <v>866</v>
      </c>
      <c r="G6">
        <v>1022</v>
      </c>
      <c r="H6">
        <v>791</v>
      </c>
      <c r="I6">
        <v>172</v>
      </c>
      <c r="J6">
        <v>5</v>
      </c>
      <c r="L6">
        <v>24</v>
      </c>
      <c r="N6">
        <f>SUM(progress_assignment_fd68e454_ba45_4b85_8205_f3bf777ded24__20[[#This Row],[OPEN]:[EDITED BY Pengawas]])</f>
        <v>123730</v>
      </c>
      <c r="O6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68058</v>
      </c>
      <c r="P6" s="2">
        <f>progress_assignment_fd68e454_ba45_4b85_8205_f3bf777ded24__20[[#This Row],[Not Draft + Open]]/progress_assignment_fd68e454_ba45_4b85_8205_f3bf777ded24__20[[#This Row],[Total]]*100</f>
        <v>55.005253374282717</v>
      </c>
      <c r="Q6" s="4">
        <f>progress_assignment_fd68e454_ba45_4b85_8205_f3bf777ded24__20[[#This Row],[Persentase]]-progress_assignment_fd68e454_ba45_4b85_8205_f3bf777ded24__6[[#This Row],[Persentase]]</f>
        <v>1.1913844648641359</v>
      </c>
      <c r="R6">
        <f>RANK(progress_assignment_fd68e454_ba45_4b85_8205_f3bf777ded24__20[[#This Row],[Persentase]],progress_assignment_fd68e454_ba45_4b85_8205_f3bf777ded24__20[Persentase])</f>
        <v>4</v>
      </c>
    </row>
    <row r="7" spans="1:18" x14ac:dyDescent="0.3">
      <c r="A7">
        <v>7206</v>
      </c>
      <c r="B7">
        <v>40522</v>
      </c>
      <c r="C7">
        <v>41702</v>
      </c>
      <c r="D7">
        <v>4731</v>
      </c>
      <c r="E7">
        <v>2617</v>
      </c>
      <c r="F7">
        <v>733</v>
      </c>
      <c r="H7">
        <v>647</v>
      </c>
      <c r="I7">
        <v>121</v>
      </c>
      <c r="M7">
        <v>1</v>
      </c>
      <c r="N7">
        <f>SUM(progress_assignment_fd68e454_ba45_4b85_8205_f3bf777ded24__20[[#This Row],[OPEN]:[EDITED BY Pengawas]])</f>
        <v>91074</v>
      </c>
      <c r="O7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47935</v>
      </c>
      <c r="P7" s="2">
        <f>progress_assignment_fd68e454_ba45_4b85_8205_f3bf777ded24__20[[#This Row],[Not Draft + Open]]/progress_assignment_fd68e454_ba45_4b85_8205_f3bf777ded24__20[[#This Row],[Total]]*100</f>
        <v>52.633023695017236</v>
      </c>
      <c r="Q7" s="4">
        <f>progress_assignment_fd68e454_ba45_4b85_8205_f3bf777ded24__20[[#This Row],[Persentase]]-progress_assignment_fd68e454_ba45_4b85_8205_f3bf777ded24__6[[#This Row],[Persentase]]</f>
        <v>1.0234633475285904</v>
      </c>
      <c r="R7">
        <f>RANK(progress_assignment_fd68e454_ba45_4b85_8205_f3bf777ded24__20[[#This Row],[Persentase]],progress_assignment_fd68e454_ba45_4b85_8205_f3bf777ded24__20[Persentase])</f>
        <v>6</v>
      </c>
    </row>
    <row r="8" spans="1:18" x14ac:dyDescent="0.3">
      <c r="A8">
        <v>7207</v>
      </c>
      <c r="B8">
        <v>28731</v>
      </c>
      <c r="C8">
        <v>26867</v>
      </c>
      <c r="D8">
        <v>5019</v>
      </c>
      <c r="E8">
        <v>3096</v>
      </c>
      <c r="F8">
        <v>1046</v>
      </c>
      <c r="G8">
        <v>31</v>
      </c>
      <c r="H8">
        <v>128</v>
      </c>
      <c r="I8">
        <v>63</v>
      </c>
      <c r="J8">
        <v>46</v>
      </c>
      <c r="L8">
        <v>63</v>
      </c>
      <c r="N8">
        <f>SUM(progress_assignment_fd68e454_ba45_4b85_8205_f3bf777ded24__20[[#This Row],[OPEN]:[EDITED BY Pengawas]])</f>
        <v>65090</v>
      </c>
      <c r="O8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33263</v>
      </c>
      <c r="P8" s="2">
        <f>progress_assignment_fd68e454_ba45_4b85_8205_f3bf777ded24__20[[#This Row],[Not Draft + Open]]/progress_assignment_fd68e454_ba45_4b85_8205_f3bf777ded24__20[[#This Row],[Total]]*100</f>
        <v>51.103088031955757</v>
      </c>
      <c r="Q8" s="4">
        <f>progress_assignment_fd68e454_ba45_4b85_8205_f3bf777ded24__20[[#This Row],[Persentase]]-progress_assignment_fd68e454_ba45_4b85_8205_f3bf777ded24__6[[#This Row],[Persentase]]</f>
        <v>0.79097816928409515</v>
      </c>
      <c r="R8">
        <f>RANK(progress_assignment_fd68e454_ba45_4b85_8205_f3bf777ded24__20[[#This Row],[Persentase]],progress_assignment_fd68e454_ba45_4b85_8205_f3bf777ded24__20[Persentase])</f>
        <v>10</v>
      </c>
    </row>
    <row r="9" spans="1:18" x14ac:dyDescent="0.3">
      <c r="A9">
        <v>7208</v>
      </c>
      <c r="B9">
        <v>83243</v>
      </c>
      <c r="C9">
        <v>69101</v>
      </c>
      <c r="D9">
        <v>26655</v>
      </c>
      <c r="E9">
        <v>4439</v>
      </c>
      <c r="F9">
        <v>4086</v>
      </c>
      <c r="G9">
        <v>1822</v>
      </c>
      <c r="H9">
        <v>112</v>
      </c>
      <c r="I9">
        <v>196</v>
      </c>
      <c r="L9">
        <v>15</v>
      </c>
      <c r="M9">
        <v>5</v>
      </c>
      <c r="N9">
        <f>SUM(progress_assignment_fd68e454_ba45_4b85_8205_f3bf777ded24__20[[#This Row],[OPEN]:[EDITED BY Pengawas]])</f>
        <v>189674</v>
      </c>
      <c r="O9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101992</v>
      </c>
      <c r="P9" s="2">
        <f>progress_assignment_fd68e454_ba45_4b85_8205_f3bf777ded24__20[[#This Row],[Not Draft + Open]]/progress_assignment_fd68e454_ba45_4b85_8205_f3bf777ded24__20[[#This Row],[Total]]*100</f>
        <v>53.772261880911451</v>
      </c>
      <c r="Q9" s="4">
        <f>progress_assignment_fd68e454_ba45_4b85_8205_f3bf777ded24__20[[#This Row],[Persentase]]-progress_assignment_fd68e454_ba45_4b85_8205_f3bf777ded24__6[[#This Row],[Persentase]]</f>
        <v>1.1101875194022242</v>
      </c>
      <c r="R9">
        <f>RANK(progress_assignment_fd68e454_ba45_4b85_8205_f3bf777ded24__20[[#This Row],[Persentase]],progress_assignment_fd68e454_ba45_4b85_8205_f3bf777ded24__20[Persentase])</f>
        <v>5</v>
      </c>
    </row>
    <row r="10" spans="1:18" x14ac:dyDescent="0.3">
      <c r="A10">
        <v>7209</v>
      </c>
      <c r="B10">
        <v>27899</v>
      </c>
      <c r="C10">
        <v>25522</v>
      </c>
      <c r="D10">
        <v>7995</v>
      </c>
      <c r="E10">
        <v>1301</v>
      </c>
      <c r="F10">
        <v>2886</v>
      </c>
      <c r="G10">
        <v>343</v>
      </c>
      <c r="H10">
        <v>6</v>
      </c>
      <c r="I10">
        <v>132</v>
      </c>
      <c r="J10">
        <v>8</v>
      </c>
      <c r="M10">
        <v>1</v>
      </c>
      <c r="N10">
        <f>SUM(progress_assignment_fd68e454_ba45_4b85_8205_f3bf777ded24__20[[#This Row],[OPEN]:[EDITED BY Pengawas]])</f>
        <v>66093</v>
      </c>
      <c r="O10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36893</v>
      </c>
      <c r="P10" s="2">
        <f>progress_assignment_fd68e454_ba45_4b85_8205_f3bf777ded24__20[[#This Row],[Not Draft + Open]]/progress_assignment_fd68e454_ba45_4b85_8205_f3bf777ded24__20[[#This Row],[Total]]*100</f>
        <v>55.81982963400057</v>
      </c>
      <c r="Q10" s="4">
        <f>progress_assignment_fd68e454_ba45_4b85_8205_f3bf777ded24__20[[#This Row],[Persentase]]-progress_assignment_fd68e454_ba45_4b85_8205_f3bf777ded24__6[[#This Row],[Persentase]]</f>
        <v>0.92393938935781961</v>
      </c>
      <c r="R10">
        <f>RANK(progress_assignment_fd68e454_ba45_4b85_8205_f3bf777ded24__20[[#This Row],[Persentase]],progress_assignment_fd68e454_ba45_4b85_8205_f3bf777ded24__20[Persentase])</f>
        <v>3</v>
      </c>
    </row>
    <row r="11" spans="1:18" x14ac:dyDescent="0.3">
      <c r="A11">
        <v>7210</v>
      </c>
      <c r="B11">
        <v>54263</v>
      </c>
      <c r="C11">
        <v>50832</v>
      </c>
      <c r="D11">
        <v>8864</v>
      </c>
      <c r="E11">
        <v>1980</v>
      </c>
      <c r="F11">
        <v>1588</v>
      </c>
      <c r="G11">
        <v>137</v>
      </c>
      <c r="H11">
        <v>438</v>
      </c>
      <c r="I11">
        <v>125</v>
      </c>
      <c r="J11">
        <v>8</v>
      </c>
      <c r="L11">
        <v>10</v>
      </c>
      <c r="N11">
        <f>SUM(progress_assignment_fd68e454_ba45_4b85_8205_f3bf777ded24__20[[#This Row],[OPEN]:[EDITED BY Pengawas]])</f>
        <v>118245</v>
      </c>
      <c r="O11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62002</v>
      </c>
      <c r="P11" s="2">
        <f>progress_assignment_fd68e454_ba45_4b85_8205_f3bf777ded24__20[[#This Row],[Not Draft + Open]]/progress_assignment_fd68e454_ba45_4b85_8205_f3bf777ded24__20[[#This Row],[Total]]*100</f>
        <v>52.435198105628146</v>
      </c>
      <c r="Q11" s="4">
        <f>progress_assignment_fd68e454_ba45_4b85_8205_f3bf777ded24__20[[#This Row],[Persentase]]-progress_assignment_fd68e454_ba45_4b85_8205_f3bf777ded24__6[[#This Row],[Persentase]]</f>
        <v>0.91167118744247944</v>
      </c>
      <c r="R11">
        <f>RANK(progress_assignment_fd68e454_ba45_4b85_8205_f3bf777ded24__20[[#This Row],[Persentase]],progress_assignment_fd68e454_ba45_4b85_8205_f3bf777ded24__20[Persentase])</f>
        <v>7</v>
      </c>
    </row>
    <row r="12" spans="1:18" x14ac:dyDescent="0.3">
      <c r="A12">
        <v>7211</v>
      </c>
      <c r="B12">
        <v>13116</v>
      </c>
      <c r="C12">
        <v>16345</v>
      </c>
      <c r="D12">
        <v>1324</v>
      </c>
      <c r="E12">
        <v>267</v>
      </c>
      <c r="F12">
        <v>149</v>
      </c>
      <c r="H12">
        <v>7</v>
      </c>
      <c r="I12">
        <v>20</v>
      </c>
      <c r="J12">
        <v>24</v>
      </c>
      <c r="M12">
        <v>1</v>
      </c>
      <c r="N12">
        <f>SUM(progress_assignment_fd68e454_ba45_4b85_8205_f3bf777ded24__20[[#This Row],[OPEN]:[EDITED BY Pengawas]])</f>
        <v>31253</v>
      </c>
      <c r="O12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17870</v>
      </c>
      <c r="P12" s="2">
        <f>progress_assignment_fd68e454_ba45_4b85_8205_f3bf777ded24__20[[#This Row],[Not Draft + Open]]/progress_assignment_fd68e454_ba45_4b85_8205_f3bf777ded24__20[[#This Row],[Total]]*100</f>
        <v>57.178510862957154</v>
      </c>
      <c r="Q12" s="4">
        <f>progress_assignment_fd68e454_ba45_4b85_8205_f3bf777ded24__20[[#This Row],[Persentase]]-progress_assignment_fd68e454_ba45_4b85_8205_f3bf777ded24__6[[#This Row],[Persentase]]</f>
        <v>1.3914738259201158</v>
      </c>
      <c r="R12">
        <f>RANK(progress_assignment_fd68e454_ba45_4b85_8205_f3bf777ded24__20[[#This Row],[Persentase]],progress_assignment_fd68e454_ba45_4b85_8205_f3bf777ded24__20[Persentase])</f>
        <v>1</v>
      </c>
    </row>
    <row r="13" spans="1:18" x14ac:dyDescent="0.3">
      <c r="A13">
        <v>7212</v>
      </c>
      <c r="B13">
        <v>24246</v>
      </c>
      <c r="C13">
        <v>14320</v>
      </c>
      <c r="D13">
        <v>7344</v>
      </c>
      <c r="E13">
        <v>798</v>
      </c>
      <c r="F13">
        <v>493</v>
      </c>
      <c r="G13">
        <v>35</v>
      </c>
      <c r="H13">
        <v>17</v>
      </c>
      <c r="I13">
        <v>69</v>
      </c>
      <c r="J13">
        <v>1</v>
      </c>
      <c r="N13">
        <f>SUM(progress_assignment_fd68e454_ba45_4b85_8205_f3bf777ded24__20[[#This Row],[OPEN]:[EDITED BY Pengawas]])</f>
        <v>47323</v>
      </c>
      <c r="O13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22279</v>
      </c>
      <c r="P13" s="2">
        <f>progress_assignment_fd68e454_ba45_4b85_8205_f3bf777ded24__20[[#This Row],[Not Draft + Open]]/progress_assignment_fd68e454_ba45_4b85_8205_f3bf777ded24__20[[#This Row],[Total]]*100</f>
        <v>47.078587578978507</v>
      </c>
      <c r="Q13" s="4">
        <f>progress_assignment_fd68e454_ba45_4b85_8205_f3bf777ded24__20[[#This Row],[Persentase]]-progress_assignment_fd68e454_ba45_4b85_8205_f3bf777ded24__6[[#This Row],[Persentase]]</f>
        <v>0.77848806806406401</v>
      </c>
      <c r="R13">
        <f>RANK(progress_assignment_fd68e454_ba45_4b85_8205_f3bf777ded24__20[[#This Row],[Persentase]],progress_assignment_fd68e454_ba45_4b85_8205_f3bf777ded24__20[Persentase])</f>
        <v>11</v>
      </c>
    </row>
    <row r="14" spans="1:18" x14ac:dyDescent="0.3">
      <c r="A14">
        <v>7271</v>
      </c>
      <c r="B14">
        <v>104818</v>
      </c>
      <c r="C14">
        <v>51356</v>
      </c>
      <c r="D14">
        <v>23375</v>
      </c>
      <c r="E14">
        <v>7682</v>
      </c>
      <c r="F14">
        <v>2357</v>
      </c>
      <c r="G14">
        <v>2278</v>
      </c>
      <c r="H14">
        <v>1628</v>
      </c>
      <c r="I14">
        <v>156</v>
      </c>
      <c r="J14">
        <v>37</v>
      </c>
      <c r="K14">
        <v>6</v>
      </c>
      <c r="N14">
        <f>SUM(progress_assignment_fd68e454_ba45_4b85_8205_f3bf777ded24__20[[#This Row],[OPEN]:[EDITED BY Pengawas]])</f>
        <v>193693</v>
      </c>
      <c r="O14">
        <f>progress_assignment_fd68e454_ba45_4b85_8205_f3bf777ded24__20[[#This Row],[EDITED BY Pengawas]]+progress_assignment_fd68e454_ba45_4b85_8205_f3bf777ded24__20[[#This Row],[REJECTED BY Admin Kabupaten]]+progress_assignment_fd68e454_ba45_4b85_8205_f3bf777ded24__20[[#This Row],[REVOKED BY Admin Kabupaten]]+progress_assignment_fd68e454_ba45_4b85_8205_f3bf777ded24__20[[#This Row],[SUBMITTED RESPONDENT]]+progress_assignment_fd68e454_ba45_4b85_8205_f3bf777ded24__20[[#This Row],[REVOKED BY Pengawas]]+progress_assignment_fd68e454_ba45_4b85_8205_f3bf777ded24__20[[#This Row],[EDITED BY Admin Kabupaten]]+progress_assignment_fd68e454_ba45_4b85_8205_f3bf777ded24__20[[#This Row],[COMPLETED BY Admin Kabupaten]]+progress_assignment_fd68e454_ba45_4b85_8205_f3bf777ded24__20[[#This Row],[REJECTED BY Pengawas]]+progress_assignment_fd68e454_ba45_4b85_8205_f3bf777ded24__20[[#This Row],[SUBMITTED BY Pencacah]]+progress_assignment_fd68e454_ba45_4b85_8205_f3bf777ded24__20[[#This Row],[APPROVED BY Pengawas]]</f>
        <v>81193</v>
      </c>
      <c r="P14" s="2">
        <f>progress_assignment_fd68e454_ba45_4b85_8205_f3bf777ded24__20[[#This Row],[Not Draft + Open]]/progress_assignment_fd68e454_ba45_4b85_8205_f3bf777ded24__20[[#This Row],[Total]]*100</f>
        <v>41.918396637978653</v>
      </c>
      <c r="Q14" s="4">
        <f>progress_assignment_fd68e454_ba45_4b85_8205_f3bf777ded24__20[[#This Row],[Persentase]]-progress_assignment_fd68e454_ba45_4b85_8205_f3bf777ded24__6[[#This Row],[Persentase]]</f>
        <v>0.81325441962068368</v>
      </c>
      <c r="R14">
        <f>RANK(progress_assignment_fd68e454_ba45_4b85_8205_f3bf777ded24__20[[#This Row],[Persentase]],progress_assignment_fd68e454_ba45_4b85_8205_f3bf777ded24__20[Persentase])</f>
        <v>13</v>
      </c>
    </row>
    <row r="16" spans="1:18" x14ac:dyDescent="0.3">
      <c r="A16" s="5">
        <v>7200</v>
      </c>
      <c r="B16" s="5">
        <f>SUM(progress_assignment_fd68e454_ba45_4b85_8205_f3bf777ded24__20[OPEN])</f>
        <v>607342</v>
      </c>
      <c r="C16" s="5">
        <f>SUM(progress_assignment_fd68e454_ba45_4b85_8205_f3bf777ded24__20[APPROVED BY Pengawas])</f>
        <v>466374</v>
      </c>
      <c r="D16" s="5">
        <f>SUM(progress_assignment_fd68e454_ba45_4b85_8205_f3bf777ded24__20[SUBMITTED BY Pencacah])</f>
        <v>170537</v>
      </c>
      <c r="E16" s="5">
        <f>SUM(progress_assignment_fd68e454_ba45_4b85_8205_f3bf777ded24__20[DRAFT])</f>
        <v>38128</v>
      </c>
      <c r="F16" s="5">
        <f>SUM(progress_assignment_fd68e454_ba45_4b85_8205_f3bf777ded24__20[REJECTED BY Pengawas])</f>
        <v>21801</v>
      </c>
      <c r="G16" s="5">
        <f>SUM(progress_assignment_fd68e454_ba45_4b85_8205_f3bf777ded24__20[COMPLETED BY Admin Kabupaten])</f>
        <v>5779</v>
      </c>
      <c r="H16" s="5">
        <f>SUM(progress_assignment_fd68e454_ba45_4b85_8205_f3bf777ded24__20[EDITED BY Admin Kabupaten])</f>
        <v>4498</v>
      </c>
      <c r="I16" s="5">
        <f>SUM(progress_assignment_fd68e454_ba45_4b85_8205_f3bf777ded24__20[REVOKED BY Pengawas])</f>
        <v>1624</v>
      </c>
      <c r="J16" s="5">
        <f>SUM(progress_assignment_fd68e454_ba45_4b85_8205_f3bf777ded24__20[SUBMITTED RESPONDENT])</f>
        <v>271</v>
      </c>
      <c r="K16" s="5">
        <f>SUM(progress_assignment_fd68e454_ba45_4b85_8205_f3bf777ded24__20[REVOKED BY Admin Kabupaten])</f>
        <v>6</v>
      </c>
      <c r="L16" s="5">
        <f>SUM(progress_assignment_fd68e454_ba45_4b85_8205_f3bf777ded24__20[REJECTED BY Admin Kabupaten])</f>
        <v>116</v>
      </c>
      <c r="M16" s="5">
        <f>SUM(progress_assignment_fd68e454_ba45_4b85_8205_f3bf777ded24__20[EDITED BY Pengawas])</f>
        <v>10</v>
      </c>
      <c r="N16" s="5">
        <f>SUM(progress_assignment_fd68e454_ba45_4b85_8205_f3bf777ded24__20[Total])</f>
        <v>1316486</v>
      </c>
      <c r="O16" s="5">
        <f>SUM(progress_assignment_fd68e454_ba45_4b85_8205_f3bf777ded24__20[Not Draft + Open])</f>
        <v>671016</v>
      </c>
      <c r="P16" s="6">
        <f>O16/N16*100</f>
        <v>50.970234396719746</v>
      </c>
      <c r="Q16" s="7">
        <f>P16-'20 Juli'!P16</f>
        <v>0.97267265543727888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FB0A-C39D-4571-B07A-8301DA8941A9}">
  <dimension ref="A1:R16"/>
  <sheetViews>
    <sheetView workbookViewId="0">
      <selection activeCell="N1" sqref="N1:R1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32.44140625" hidden="1" customWidth="1"/>
    <col min="8" max="8" width="27.88671875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t="s">
        <v>14</v>
      </c>
      <c r="Q1" t="s">
        <v>16</v>
      </c>
      <c r="R1" t="s">
        <v>17</v>
      </c>
    </row>
    <row r="2" spans="1:18" x14ac:dyDescent="0.3">
      <c r="A2">
        <v>7201</v>
      </c>
      <c r="B2">
        <v>19606</v>
      </c>
      <c r="C2">
        <v>17655</v>
      </c>
      <c r="D2">
        <v>10384</v>
      </c>
      <c r="E2">
        <v>2170</v>
      </c>
      <c r="F2">
        <v>888</v>
      </c>
      <c r="G2">
        <v>4</v>
      </c>
      <c r="H2">
        <v>191</v>
      </c>
      <c r="I2">
        <v>69</v>
      </c>
      <c r="J2">
        <v>90</v>
      </c>
      <c r="M2">
        <v>1</v>
      </c>
      <c r="N2">
        <f>SUM(progress_assignment_fd68e454_ba45_4b85_8205_f3bf777ded24__21[[#This Row],[OPEN]:[EDITED BY Pengawas]])</f>
        <v>51058</v>
      </c>
      <c r="O2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29282</v>
      </c>
      <c r="P2" s="2">
        <f>progress_assignment_fd68e454_ba45_4b85_8205_f3bf777ded24__21[[#This Row],[Not Draft + Open]]/progress_assignment_fd68e454_ba45_4b85_8205_f3bf777ded24__21[[#This Row],[Total]]*100</f>
        <v>57.350464177993658</v>
      </c>
      <c r="Q2" s="4">
        <f>progress_assignment_fd68e454_ba45_4b85_8205_f3bf777ded24__21[[#This Row],[Persentase]]-progress_assignment_fd68e454_ba45_4b85_8205_f3bf777ded24__20[[#This Row],[Persentase]]</f>
        <v>1.0948085144613771</v>
      </c>
      <c r="R2">
        <f>RANK(progress_assignment_fd68e454_ba45_4b85_8205_f3bf777ded24__21[[#This Row],[Persentase]],progress_assignment_fd68e454_ba45_4b85_8205_f3bf777ded24__21[Persentase])</f>
        <v>2</v>
      </c>
    </row>
    <row r="3" spans="1:18" x14ac:dyDescent="0.3">
      <c r="A3">
        <v>7202</v>
      </c>
      <c r="B3">
        <v>70826</v>
      </c>
      <c r="C3">
        <v>40049</v>
      </c>
      <c r="D3">
        <v>41707</v>
      </c>
      <c r="E3">
        <v>4871</v>
      </c>
      <c r="F3">
        <v>3660</v>
      </c>
      <c r="G3">
        <v>13</v>
      </c>
      <c r="H3">
        <v>35</v>
      </c>
      <c r="I3">
        <v>185</v>
      </c>
      <c r="J3">
        <v>4</v>
      </c>
      <c r="M3">
        <v>1</v>
      </c>
      <c r="N3">
        <f>SUM(progress_assignment_fd68e454_ba45_4b85_8205_f3bf777ded24__21[[#This Row],[OPEN]:[EDITED BY Pengawas]])</f>
        <v>161351</v>
      </c>
      <c r="O3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85654</v>
      </c>
      <c r="P3" s="2">
        <f>progress_assignment_fd68e454_ba45_4b85_8205_f3bf777ded24__21[[#This Row],[Not Draft + Open]]/progress_assignment_fd68e454_ba45_4b85_8205_f3bf777ded24__21[[#This Row],[Total]]*100</f>
        <v>53.085509231427139</v>
      </c>
      <c r="Q3" s="4">
        <f>progress_assignment_fd68e454_ba45_4b85_8205_f3bf777ded24__21[[#This Row],[Persentase]]-progress_assignment_fd68e454_ba45_4b85_8205_f3bf777ded24__20[[#This Row],[Persentase]]</f>
        <v>0.8917277951018221</v>
      </c>
      <c r="R3">
        <f>RANK(progress_assignment_fd68e454_ba45_4b85_8205_f3bf777ded24__21[[#This Row],[Persentase]],progress_assignment_fd68e454_ba45_4b85_8205_f3bf777ded24__21[Persentase])</f>
        <v>8</v>
      </c>
    </row>
    <row r="4" spans="1:18" x14ac:dyDescent="0.3">
      <c r="A4">
        <v>7203</v>
      </c>
      <c r="B4">
        <v>31652</v>
      </c>
      <c r="C4">
        <v>16919</v>
      </c>
      <c r="D4">
        <v>11137</v>
      </c>
      <c r="E4">
        <v>2603</v>
      </c>
      <c r="F4">
        <v>477</v>
      </c>
      <c r="G4">
        <v>72</v>
      </c>
      <c r="H4">
        <v>41</v>
      </c>
      <c r="I4">
        <v>25</v>
      </c>
      <c r="L4">
        <v>1</v>
      </c>
      <c r="N4">
        <f>SUM(progress_assignment_fd68e454_ba45_4b85_8205_f3bf777ded24__21[[#This Row],[OPEN]:[EDITED BY Pengawas]])</f>
        <v>62927</v>
      </c>
      <c r="O4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28672</v>
      </c>
      <c r="P4" s="2">
        <f>progress_assignment_fd68e454_ba45_4b85_8205_f3bf777ded24__21[[#This Row],[Not Draft + Open]]/progress_assignment_fd68e454_ba45_4b85_8205_f3bf777ded24__21[[#This Row],[Total]]*100</f>
        <v>45.563907384747402</v>
      </c>
      <c r="Q4" s="4">
        <f>progress_assignment_fd68e454_ba45_4b85_8205_f3bf777ded24__21[[#This Row],[Persentase]]-progress_assignment_fd68e454_ba45_4b85_8205_f3bf777ded24__20[[#This Row],[Persentase]]</f>
        <v>2.055383062763795</v>
      </c>
      <c r="R4">
        <f>RANK(progress_assignment_fd68e454_ba45_4b85_8205_f3bf777ded24__21[[#This Row],[Persentase]],progress_assignment_fd68e454_ba45_4b85_8205_f3bf777ded24__21[Persentase])</f>
        <v>12</v>
      </c>
    </row>
    <row r="5" spans="1:18" x14ac:dyDescent="0.3">
      <c r="A5">
        <v>7204</v>
      </c>
      <c r="B5">
        <v>51630</v>
      </c>
      <c r="C5">
        <v>43474</v>
      </c>
      <c r="D5">
        <v>13428</v>
      </c>
      <c r="E5">
        <v>4020</v>
      </c>
      <c r="F5">
        <v>3110</v>
      </c>
      <c r="G5">
        <v>23</v>
      </c>
      <c r="H5">
        <v>469</v>
      </c>
      <c r="I5">
        <v>299</v>
      </c>
      <c r="J5">
        <v>48</v>
      </c>
      <c r="L5">
        <v>3</v>
      </c>
      <c r="N5">
        <f>SUM(progress_assignment_fd68e454_ba45_4b85_8205_f3bf777ded24__21[[#This Row],[OPEN]:[EDITED BY Pengawas]])</f>
        <v>116504</v>
      </c>
      <c r="O5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60854</v>
      </c>
      <c r="P5" s="2">
        <f>progress_assignment_fd68e454_ba45_4b85_8205_f3bf777ded24__21[[#This Row],[Not Draft + Open]]/progress_assignment_fd68e454_ba45_4b85_8205_f3bf777ded24__21[[#This Row],[Total]]*100</f>
        <v>52.233399711597883</v>
      </c>
      <c r="Q5" s="4">
        <f>progress_assignment_fd68e454_ba45_4b85_8205_f3bf777ded24__21[[#This Row],[Persentase]]-progress_assignment_fd68e454_ba45_4b85_8205_f3bf777ded24__20[[#This Row],[Persentase]]</f>
        <v>0.7590049057329864</v>
      </c>
      <c r="R5">
        <f>RANK(progress_assignment_fd68e454_ba45_4b85_8205_f3bf777ded24__21[[#This Row],[Persentase]],progress_assignment_fd68e454_ba45_4b85_8205_f3bf777ded24__21[Persentase])</f>
        <v>9</v>
      </c>
    </row>
    <row r="6" spans="1:18" x14ac:dyDescent="0.3">
      <c r="A6">
        <v>7205</v>
      </c>
      <c r="B6">
        <v>51823</v>
      </c>
      <c r="C6">
        <v>58653</v>
      </c>
      <c r="D6">
        <v>8105</v>
      </c>
      <c r="E6">
        <v>2688</v>
      </c>
      <c r="F6">
        <v>861</v>
      </c>
      <c r="G6">
        <v>1035</v>
      </c>
      <c r="H6">
        <v>811</v>
      </c>
      <c r="I6">
        <v>168</v>
      </c>
      <c r="K6">
        <v>10</v>
      </c>
      <c r="L6">
        <v>32</v>
      </c>
      <c r="N6">
        <f>SUM(progress_assignment_fd68e454_ba45_4b85_8205_f3bf777ded24__21[[#This Row],[OPEN]:[EDITED BY Pengawas]])</f>
        <v>124186</v>
      </c>
      <c r="O6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69675</v>
      </c>
      <c r="P6" s="2">
        <f>progress_assignment_fd68e454_ba45_4b85_8205_f3bf777ded24__21[[#This Row],[Not Draft + Open]]/progress_assignment_fd68e454_ba45_4b85_8205_f3bf777ded24__21[[#This Row],[Total]]*100</f>
        <v>56.105358091894416</v>
      </c>
      <c r="Q6" s="4">
        <f>progress_assignment_fd68e454_ba45_4b85_8205_f3bf777ded24__21[[#This Row],[Persentase]]-progress_assignment_fd68e454_ba45_4b85_8205_f3bf777ded24__20[[#This Row],[Persentase]]</f>
        <v>1.1001047176116998</v>
      </c>
      <c r="R6">
        <f>RANK(progress_assignment_fd68e454_ba45_4b85_8205_f3bf777ded24__21[[#This Row],[Persentase]],progress_assignment_fd68e454_ba45_4b85_8205_f3bf777ded24__21[Persentase])</f>
        <v>4</v>
      </c>
    </row>
    <row r="7" spans="1:18" x14ac:dyDescent="0.3">
      <c r="A7">
        <v>7206</v>
      </c>
      <c r="B7">
        <v>39866</v>
      </c>
      <c r="C7">
        <v>42100</v>
      </c>
      <c r="D7">
        <v>5189</v>
      </c>
      <c r="E7">
        <v>2658</v>
      </c>
      <c r="F7">
        <v>672</v>
      </c>
      <c r="H7">
        <v>774</v>
      </c>
      <c r="I7">
        <v>119</v>
      </c>
      <c r="M7">
        <v>1</v>
      </c>
      <c r="N7">
        <f>SUM(progress_assignment_fd68e454_ba45_4b85_8205_f3bf777ded24__21[[#This Row],[OPEN]:[EDITED BY Pengawas]])</f>
        <v>91379</v>
      </c>
      <c r="O7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48855</v>
      </c>
      <c r="P7" s="2">
        <f>progress_assignment_fd68e454_ba45_4b85_8205_f3bf777ded24__21[[#This Row],[Not Draft + Open]]/progress_assignment_fd68e454_ba45_4b85_8205_f3bf777ded24__21[[#This Row],[Total]]*100</f>
        <v>53.464143840488511</v>
      </c>
      <c r="Q7" s="4">
        <f>progress_assignment_fd68e454_ba45_4b85_8205_f3bf777ded24__21[[#This Row],[Persentase]]-progress_assignment_fd68e454_ba45_4b85_8205_f3bf777ded24__20[[#This Row],[Persentase]]</f>
        <v>0.83112014547127444</v>
      </c>
      <c r="R7">
        <f>RANK(progress_assignment_fd68e454_ba45_4b85_8205_f3bf777ded24__21[[#This Row],[Persentase]],progress_assignment_fd68e454_ba45_4b85_8205_f3bf777ded24__21[Persentase])</f>
        <v>6</v>
      </c>
    </row>
    <row r="8" spans="1:18" x14ac:dyDescent="0.3">
      <c r="A8">
        <v>7207</v>
      </c>
      <c r="B8">
        <v>28122</v>
      </c>
      <c r="C8">
        <v>27839</v>
      </c>
      <c r="D8">
        <v>4540</v>
      </c>
      <c r="E8">
        <v>3270</v>
      </c>
      <c r="F8">
        <v>1024</v>
      </c>
      <c r="G8">
        <v>66</v>
      </c>
      <c r="H8">
        <v>160</v>
      </c>
      <c r="I8">
        <v>63</v>
      </c>
      <c r="J8">
        <v>46</v>
      </c>
      <c r="L8">
        <v>124</v>
      </c>
      <c r="N8">
        <f>SUM(progress_assignment_fd68e454_ba45_4b85_8205_f3bf777ded24__21[[#This Row],[OPEN]:[EDITED BY Pengawas]])</f>
        <v>65254</v>
      </c>
      <c r="O8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33862</v>
      </c>
      <c r="P8" s="2">
        <f>progress_assignment_fd68e454_ba45_4b85_8205_f3bf777ded24__21[[#This Row],[Not Draft + Open]]/progress_assignment_fd68e454_ba45_4b85_8205_f3bf777ded24__21[[#This Row],[Total]]*100</f>
        <v>51.8926042847948</v>
      </c>
      <c r="Q8" s="4">
        <f>progress_assignment_fd68e454_ba45_4b85_8205_f3bf777ded24__21[[#This Row],[Persentase]]-progress_assignment_fd68e454_ba45_4b85_8205_f3bf777ded24__20[[#This Row],[Persentase]]</f>
        <v>0.78951625283904292</v>
      </c>
      <c r="R8">
        <f>RANK(progress_assignment_fd68e454_ba45_4b85_8205_f3bf777ded24__21[[#This Row],[Persentase]],progress_assignment_fd68e454_ba45_4b85_8205_f3bf777ded24__21[Persentase])</f>
        <v>10</v>
      </c>
    </row>
    <row r="9" spans="1:18" x14ac:dyDescent="0.3">
      <c r="A9">
        <v>7208</v>
      </c>
      <c r="B9">
        <v>81196</v>
      </c>
      <c r="C9">
        <v>70928</v>
      </c>
      <c r="D9">
        <v>27250</v>
      </c>
      <c r="E9">
        <v>4621</v>
      </c>
      <c r="F9">
        <v>4083</v>
      </c>
      <c r="G9">
        <v>1822</v>
      </c>
      <c r="H9">
        <v>112</v>
      </c>
      <c r="I9">
        <v>198</v>
      </c>
      <c r="L9">
        <v>12</v>
      </c>
      <c r="M9">
        <v>5</v>
      </c>
      <c r="N9">
        <f>SUM(progress_assignment_fd68e454_ba45_4b85_8205_f3bf777ded24__21[[#This Row],[OPEN]:[EDITED BY Pengawas]])</f>
        <v>190227</v>
      </c>
      <c r="O9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104410</v>
      </c>
      <c r="P9" s="2">
        <f>progress_assignment_fd68e454_ba45_4b85_8205_f3bf777ded24__21[[#This Row],[Not Draft + Open]]/progress_assignment_fd68e454_ba45_4b85_8205_f3bf777ded24__21[[#This Row],[Total]]*100</f>
        <v>54.887055991000224</v>
      </c>
      <c r="Q9" s="4">
        <f>progress_assignment_fd68e454_ba45_4b85_8205_f3bf777ded24__21[[#This Row],[Persentase]]-progress_assignment_fd68e454_ba45_4b85_8205_f3bf777ded24__20[[#This Row],[Persentase]]</f>
        <v>1.1147941100887735</v>
      </c>
      <c r="R9">
        <f>RANK(progress_assignment_fd68e454_ba45_4b85_8205_f3bf777ded24__21[[#This Row],[Persentase]],progress_assignment_fd68e454_ba45_4b85_8205_f3bf777ded24__21[Persentase])</f>
        <v>5</v>
      </c>
    </row>
    <row r="10" spans="1:18" x14ac:dyDescent="0.3">
      <c r="A10">
        <v>7209</v>
      </c>
      <c r="B10">
        <v>27232</v>
      </c>
      <c r="C10">
        <v>26071</v>
      </c>
      <c r="D10">
        <v>8099</v>
      </c>
      <c r="E10">
        <v>1299</v>
      </c>
      <c r="F10">
        <v>3012</v>
      </c>
      <c r="G10">
        <v>381</v>
      </c>
      <c r="H10">
        <v>9</v>
      </c>
      <c r="I10">
        <v>134</v>
      </c>
      <c r="J10">
        <v>8</v>
      </c>
      <c r="M10">
        <v>1</v>
      </c>
      <c r="N10">
        <f>SUM(progress_assignment_fd68e454_ba45_4b85_8205_f3bf777ded24__21[[#This Row],[OPEN]:[EDITED BY Pengawas]])</f>
        <v>66246</v>
      </c>
      <c r="O10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37715</v>
      </c>
      <c r="P10" s="2">
        <f>progress_assignment_fd68e454_ba45_4b85_8205_f3bf777ded24__21[[#This Row],[Not Draft + Open]]/progress_assignment_fd68e454_ba45_4b85_8205_f3bf777ded24__21[[#This Row],[Total]]*100</f>
        <v>56.931739274824146</v>
      </c>
      <c r="Q10" s="4">
        <f>progress_assignment_fd68e454_ba45_4b85_8205_f3bf777ded24__21[[#This Row],[Persentase]]-progress_assignment_fd68e454_ba45_4b85_8205_f3bf777ded24__20[[#This Row],[Persentase]]</f>
        <v>1.1119096408235762</v>
      </c>
      <c r="R10">
        <f>RANK(progress_assignment_fd68e454_ba45_4b85_8205_f3bf777ded24__21[[#This Row],[Persentase]],progress_assignment_fd68e454_ba45_4b85_8205_f3bf777ded24__21[Persentase])</f>
        <v>3</v>
      </c>
    </row>
    <row r="11" spans="1:18" x14ac:dyDescent="0.3">
      <c r="A11">
        <v>7210</v>
      </c>
      <c r="B11">
        <v>53359</v>
      </c>
      <c r="C11">
        <v>51614</v>
      </c>
      <c r="D11">
        <v>9206</v>
      </c>
      <c r="E11">
        <v>1986</v>
      </c>
      <c r="F11">
        <v>1594</v>
      </c>
      <c r="G11">
        <v>137</v>
      </c>
      <c r="H11">
        <v>478</v>
      </c>
      <c r="I11">
        <v>135</v>
      </c>
      <c r="J11">
        <v>8</v>
      </c>
      <c r="L11">
        <v>10</v>
      </c>
      <c r="N11">
        <f>SUM(progress_assignment_fd68e454_ba45_4b85_8205_f3bf777ded24__21[[#This Row],[OPEN]:[EDITED BY Pengawas]])</f>
        <v>118527</v>
      </c>
      <c r="O11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63182</v>
      </c>
      <c r="P11" s="2">
        <f>progress_assignment_fd68e454_ba45_4b85_8205_f3bf777ded24__21[[#This Row],[Not Draft + Open]]/progress_assignment_fd68e454_ba45_4b85_8205_f3bf777ded24__21[[#This Row],[Total]]*100</f>
        <v>53.305997789533187</v>
      </c>
      <c r="Q11" s="4">
        <f>progress_assignment_fd68e454_ba45_4b85_8205_f3bf777ded24__21[[#This Row],[Persentase]]-progress_assignment_fd68e454_ba45_4b85_8205_f3bf777ded24__20[[#This Row],[Persentase]]</f>
        <v>0.87079968390504092</v>
      </c>
      <c r="R11">
        <f>RANK(progress_assignment_fd68e454_ba45_4b85_8205_f3bf777ded24__21[[#This Row],[Persentase]],progress_assignment_fd68e454_ba45_4b85_8205_f3bf777ded24__21[Persentase])</f>
        <v>7</v>
      </c>
    </row>
    <row r="12" spans="1:18" x14ac:dyDescent="0.3">
      <c r="A12">
        <v>7211</v>
      </c>
      <c r="B12">
        <v>12741</v>
      </c>
      <c r="C12">
        <v>16525</v>
      </c>
      <c r="D12">
        <v>1576</v>
      </c>
      <c r="E12">
        <v>316</v>
      </c>
      <c r="F12">
        <v>135</v>
      </c>
      <c r="G12">
        <v>5</v>
      </c>
      <c r="H12">
        <v>36</v>
      </c>
      <c r="I12">
        <v>18</v>
      </c>
      <c r="J12">
        <v>24</v>
      </c>
      <c r="M12">
        <v>1</v>
      </c>
      <c r="N12">
        <f>SUM(progress_assignment_fd68e454_ba45_4b85_8205_f3bf777ded24__21[[#This Row],[OPEN]:[EDITED BY Pengawas]])</f>
        <v>31377</v>
      </c>
      <c r="O12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18320</v>
      </c>
      <c r="P12" s="2">
        <f>progress_assignment_fd68e454_ba45_4b85_8205_f3bf777ded24__21[[#This Row],[Not Draft + Open]]/progress_assignment_fd68e454_ba45_4b85_8205_f3bf777ded24__21[[#This Row],[Total]]*100</f>
        <v>58.386716384612939</v>
      </c>
      <c r="Q12" s="4">
        <f>progress_assignment_fd68e454_ba45_4b85_8205_f3bf777ded24__21[[#This Row],[Persentase]]-progress_assignment_fd68e454_ba45_4b85_8205_f3bf777ded24__20[[#This Row],[Persentase]]</f>
        <v>1.2082055216557848</v>
      </c>
      <c r="R12">
        <f>RANK(progress_assignment_fd68e454_ba45_4b85_8205_f3bf777ded24__21[[#This Row],[Persentase]],progress_assignment_fd68e454_ba45_4b85_8205_f3bf777ded24__21[Persentase])</f>
        <v>1</v>
      </c>
    </row>
    <row r="13" spans="1:18" x14ac:dyDescent="0.3">
      <c r="A13">
        <v>7212</v>
      </c>
      <c r="B13">
        <v>23886</v>
      </c>
      <c r="C13">
        <v>14773</v>
      </c>
      <c r="D13">
        <v>7314</v>
      </c>
      <c r="E13">
        <v>814</v>
      </c>
      <c r="F13">
        <v>520</v>
      </c>
      <c r="G13">
        <v>35</v>
      </c>
      <c r="H13">
        <v>17</v>
      </c>
      <c r="I13">
        <v>70</v>
      </c>
      <c r="J13">
        <v>1</v>
      </c>
      <c r="N13">
        <f>SUM(progress_assignment_fd68e454_ba45_4b85_8205_f3bf777ded24__21[[#This Row],[OPEN]:[EDITED BY Pengawas]])</f>
        <v>47430</v>
      </c>
      <c r="O13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22730</v>
      </c>
      <c r="P13" s="2">
        <f>progress_assignment_fd68e454_ba45_4b85_8205_f3bf777ded24__21[[#This Row],[Not Draft + Open]]/progress_assignment_fd68e454_ba45_4b85_8205_f3bf777ded24__21[[#This Row],[Total]]*100</f>
        <v>47.923255323634827</v>
      </c>
      <c r="Q13" s="4">
        <f>progress_assignment_fd68e454_ba45_4b85_8205_f3bf777ded24__21[[#This Row],[Persentase]]-progress_assignment_fd68e454_ba45_4b85_8205_f3bf777ded24__20[[#This Row],[Persentase]]</f>
        <v>0.84466774465632</v>
      </c>
      <c r="R13">
        <f>RANK(progress_assignment_fd68e454_ba45_4b85_8205_f3bf777ded24__21[[#This Row],[Persentase]],progress_assignment_fd68e454_ba45_4b85_8205_f3bf777ded24__21[Persentase])</f>
        <v>11</v>
      </c>
    </row>
    <row r="14" spans="1:18" x14ac:dyDescent="0.3">
      <c r="A14">
        <v>7271</v>
      </c>
      <c r="B14">
        <v>103841</v>
      </c>
      <c r="C14">
        <v>54521</v>
      </c>
      <c r="D14">
        <v>21284</v>
      </c>
      <c r="E14">
        <v>7847</v>
      </c>
      <c r="F14">
        <v>2558</v>
      </c>
      <c r="G14">
        <v>2434</v>
      </c>
      <c r="H14">
        <v>1615</v>
      </c>
      <c r="I14">
        <v>185</v>
      </c>
      <c r="J14">
        <v>38</v>
      </c>
      <c r="K14">
        <v>6</v>
      </c>
      <c r="N14">
        <f>SUM(progress_assignment_fd68e454_ba45_4b85_8205_f3bf777ded24__21[[#This Row],[OPEN]:[EDITED BY Pengawas]])</f>
        <v>194329</v>
      </c>
      <c r="O14">
        <f>progress_assignment_fd68e454_ba45_4b85_8205_f3bf777ded24__21[[#This Row],[EDITED BY Pengawas]]+progress_assignment_fd68e454_ba45_4b85_8205_f3bf777ded24__21[[#This Row],[REJECTED BY Admin Kabupaten]]+progress_assignment_fd68e454_ba45_4b85_8205_f3bf777ded24__21[[#This Row],[REVOKED BY Admin Kabupaten]]+progress_assignment_fd68e454_ba45_4b85_8205_f3bf777ded24__21[[#This Row],[SUBMITTED RESPONDENT]]+progress_assignment_fd68e454_ba45_4b85_8205_f3bf777ded24__21[[#This Row],[REVOKED BY Pengawas]]+progress_assignment_fd68e454_ba45_4b85_8205_f3bf777ded24__21[[#This Row],[EDITED BY Admin Kabupaten]]+progress_assignment_fd68e454_ba45_4b85_8205_f3bf777ded24__21[[#This Row],[COMPLETED BY Admin Kabupaten]]+progress_assignment_fd68e454_ba45_4b85_8205_f3bf777ded24__21[[#This Row],[REJECTED BY Pengawas]]+progress_assignment_fd68e454_ba45_4b85_8205_f3bf777ded24__21[[#This Row],[SUBMITTED BY Pencacah]]+progress_assignment_fd68e454_ba45_4b85_8205_f3bf777ded24__21[[#This Row],[APPROVED BY Pengawas]]</f>
        <v>82641</v>
      </c>
      <c r="P14" s="2">
        <f>progress_assignment_fd68e454_ba45_4b85_8205_f3bf777ded24__21[[#This Row],[Not Draft + Open]]/progress_assignment_fd68e454_ba45_4b85_8205_f3bf777ded24__21[[#This Row],[Total]]*100</f>
        <v>42.52633420642313</v>
      </c>
      <c r="Q14" s="4">
        <f>progress_assignment_fd68e454_ba45_4b85_8205_f3bf777ded24__21[[#This Row],[Persentase]]-progress_assignment_fd68e454_ba45_4b85_8205_f3bf777ded24__20[[#This Row],[Persentase]]</f>
        <v>0.60793756844447699</v>
      </c>
      <c r="R14">
        <f>RANK(progress_assignment_fd68e454_ba45_4b85_8205_f3bf777ded24__21[[#This Row],[Persentase]],progress_assignment_fd68e454_ba45_4b85_8205_f3bf777ded24__21[Persentase])</f>
        <v>13</v>
      </c>
    </row>
    <row r="15" spans="1:18" x14ac:dyDescent="0.3">
      <c r="P15" s="2"/>
    </row>
    <row r="16" spans="1:18" x14ac:dyDescent="0.3">
      <c r="A16" s="5">
        <v>7200</v>
      </c>
      <c r="B16" s="5">
        <f>SUM(progress_assignment_fd68e454_ba45_4b85_8205_f3bf777ded24__21[OPEN])</f>
        <v>595780</v>
      </c>
      <c r="C16" s="5">
        <f>SUM(progress_assignment_fd68e454_ba45_4b85_8205_f3bf777ded24__21[APPROVED BY Pengawas])</f>
        <v>481121</v>
      </c>
      <c r="D16" s="5">
        <f>SUM(progress_assignment_fd68e454_ba45_4b85_8205_f3bf777ded24__21[SUBMITTED BY Pencacah])</f>
        <v>169219</v>
      </c>
      <c r="E16" s="5">
        <f>SUM(progress_assignment_fd68e454_ba45_4b85_8205_f3bf777ded24__21[DRAFT])</f>
        <v>39163</v>
      </c>
      <c r="F16" s="5">
        <f>SUM(progress_assignment_fd68e454_ba45_4b85_8205_f3bf777ded24__21[REJECTED BY Pengawas])</f>
        <v>22594</v>
      </c>
      <c r="G16" s="5">
        <f>SUM(progress_assignment_fd68e454_ba45_4b85_8205_f3bf777ded24__21[COMPLETED BY Admin Kabupaten])</f>
        <v>6027</v>
      </c>
      <c r="H16" s="5">
        <f>SUM(progress_assignment_fd68e454_ba45_4b85_8205_f3bf777ded24__21[EDITED BY Admin Kabupaten])</f>
        <v>4748</v>
      </c>
      <c r="I16" s="5">
        <f>SUM(progress_assignment_fd68e454_ba45_4b85_8205_f3bf777ded24__21[REVOKED BY Pengawas])</f>
        <v>1668</v>
      </c>
      <c r="J16" s="5">
        <f>SUM(progress_assignment_fd68e454_ba45_4b85_8205_f3bf777ded24__21[SUBMITTED RESPONDENT])</f>
        <v>267</v>
      </c>
      <c r="K16" s="5">
        <f>SUM(progress_assignment_fd68e454_ba45_4b85_8205_f3bf777ded24__21[REVOKED BY Admin Kabupaten])</f>
        <v>16</v>
      </c>
      <c r="L16" s="5">
        <f>SUM(progress_assignment_fd68e454_ba45_4b85_8205_f3bf777ded24__21[REJECTED BY Admin Kabupaten])</f>
        <v>182</v>
      </c>
      <c r="M16" s="5">
        <f>SUM(progress_assignment_fd68e454_ba45_4b85_8205_f3bf777ded24__21[EDITED BY Pengawas])</f>
        <v>10</v>
      </c>
      <c r="N16" s="5">
        <f>SUM(progress_assignment_fd68e454_ba45_4b85_8205_f3bf777ded24__21[Total])</f>
        <v>1320795</v>
      </c>
      <c r="O16" s="5">
        <f>SUM(progress_assignment_fd68e454_ba45_4b85_8205_f3bf777ded24__21[Not Draft + Open])</f>
        <v>685852</v>
      </c>
      <c r="P16" s="6">
        <f>O16/N16*100</f>
        <v>51.927210505793866</v>
      </c>
      <c r="Q16" s="7">
        <f>P16-'21 Juli'!P16</f>
        <v>0.95697610907411956</v>
      </c>
    </row>
  </sheetData>
  <conditionalFormatting sqref="Q2:Q14">
    <cfRule type="cellIs" dxfId="1" priority="1" operator="greaterThanOrEqual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2879F-C55B-4EF9-9AEE-D002F8F7F53F}">
  <dimension ref="A1:R16"/>
  <sheetViews>
    <sheetView workbookViewId="0">
      <selection activeCell="N1" sqref="N1:R1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32.44140625" hidden="1" customWidth="1"/>
    <col min="8" max="8" width="27.88671875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t="s">
        <v>14</v>
      </c>
      <c r="Q1" t="s">
        <v>16</v>
      </c>
      <c r="R1" t="s">
        <v>17</v>
      </c>
    </row>
    <row r="2" spans="1:18" x14ac:dyDescent="0.3">
      <c r="A2">
        <v>7201</v>
      </c>
      <c r="B2">
        <v>19313</v>
      </c>
      <c r="C2">
        <v>18657</v>
      </c>
      <c r="D2">
        <v>9832</v>
      </c>
      <c r="E2">
        <v>2081</v>
      </c>
      <c r="F2">
        <v>918</v>
      </c>
      <c r="G2">
        <v>4</v>
      </c>
      <c r="H2">
        <v>193</v>
      </c>
      <c r="I2">
        <v>66</v>
      </c>
      <c r="J2">
        <v>90</v>
      </c>
      <c r="M2">
        <v>1</v>
      </c>
      <c r="N2">
        <f>SUM(progress_assignment_fd68e454_ba45_4b85_8205_f3bf777ded24__22[[#This Row],[OPEN]:[EDITED BY Pengawas]])</f>
        <v>51155</v>
      </c>
      <c r="O2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29761</v>
      </c>
      <c r="P2" s="2">
        <f>progress_assignment_fd68e454_ba45_4b85_8205_f3bf777ded24__22[[#This Row],[Not Draft + Open]]/progress_assignment_fd68e454_ba45_4b85_8205_f3bf777ded24__22[[#This Row],[Total]]*100</f>
        <v>58.17808620858176</v>
      </c>
      <c r="Q2" s="4">
        <f>progress_assignment_fd68e454_ba45_4b85_8205_f3bf777ded24__22[[#This Row],[Persentase]]-progress_assignment_fd68e454_ba45_4b85_8205_f3bf777ded24__21[[#This Row],[Persentase]]</f>
        <v>0.82762203058810258</v>
      </c>
      <c r="R2">
        <f>RANK(progress_assignment_fd68e454_ba45_4b85_8205_f3bf777ded24__22[[#This Row],[Persentase]],progress_assignment_fd68e454_ba45_4b85_8205_f3bf777ded24__22[Persentase])</f>
        <v>2</v>
      </c>
    </row>
    <row r="3" spans="1:18" x14ac:dyDescent="0.3">
      <c r="A3">
        <v>7202</v>
      </c>
      <c r="B3">
        <v>69769</v>
      </c>
      <c r="C3">
        <v>41206</v>
      </c>
      <c r="D3">
        <v>41715</v>
      </c>
      <c r="E3">
        <v>4694</v>
      </c>
      <c r="F3">
        <v>3999</v>
      </c>
      <c r="G3">
        <v>13</v>
      </c>
      <c r="H3">
        <v>36</v>
      </c>
      <c r="I3">
        <v>211</v>
      </c>
      <c r="J3">
        <v>4</v>
      </c>
      <c r="M3">
        <v>1</v>
      </c>
      <c r="N3">
        <f>SUM(progress_assignment_fd68e454_ba45_4b85_8205_f3bf777ded24__22[[#This Row],[OPEN]:[EDITED BY Pengawas]])</f>
        <v>161648</v>
      </c>
      <c r="O3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87185</v>
      </c>
      <c r="P3" s="2">
        <f>progress_assignment_fd68e454_ba45_4b85_8205_f3bf777ded24__22[[#This Row],[Not Draft + Open]]/progress_assignment_fd68e454_ba45_4b85_8205_f3bf777ded24__22[[#This Row],[Total]]*100</f>
        <v>53.935093536573298</v>
      </c>
      <c r="Q3" s="4">
        <f>progress_assignment_fd68e454_ba45_4b85_8205_f3bf777ded24__22[[#This Row],[Persentase]]-progress_assignment_fd68e454_ba45_4b85_8205_f3bf777ded24__21[[#This Row],[Persentase]]</f>
        <v>0.84958430514615912</v>
      </c>
      <c r="R3">
        <f>RANK(progress_assignment_fd68e454_ba45_4b85_8205_f3bf777ded24__22[[#This Row],[Persentase]],progress_assignment_fd68e454_ba45_4b85_8205_f3bf777ded24__22[Persentase])</f>
        <v>8</v>
      </c>
    </row>
    <row r="4" spans="1:18" x14ac:dyDescent="0.3">
      <c r="A4">
        <v>7203</v>
      </c>
      <c r="B4">
        <v>31214</v>
      </c>
      <c r="C4">
        <v>17947</v>
      </c>
      <c r="D4">
        <v>10648</v>
      </c>
      <c r="E4">
        <v>2648</v>
      </c>
      <c r="F4">
        <v>694</v>
      </c>
      <c r="G4">
        <v>75</v>
      </c>
      <c r="H4">
        <v>52</v>
      </c>
      <c r="I4">
        <v>65</v>
      </c>
      <c r="L4">
        <v>1</v>
      </c>
      <c r="N4">
        <f>SUM(progress_assignment_fd68e454_ba45_4b85_8205_f3bf777ded24__22[[#This Row],[OPEN]:[EDITED BY Pengawas]])</f>
        <v>63344</v>
      </c>
      <c r="O4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29482</v>
      </c>
      <c r="P4" s="2">
        <f>progress_assignment_fd68e454_ba45_4b85_8205_f3bf777ded24__22[[#This Row],[Not Draft + Open]]/progress_assignment_fd68e454_ba45_4b85_8205_f3bf777ded24__22[[#This Row],[Total]]*100</f>
        <v>46.542687547360444</v>
      </c>
      <c r="Q4" s="4">
        <f>progress_assignment_fd68e454_ba45_4b85_8205_f3bf777ded24__22[[#This Row],[Persentase]]-progress_assignment_fd68e454_ba45_4b85_8205_f3bf777ded24__21[[#This Row],[Persentase]]</f>
        <v>0.97878016261304168</v>
      </c>
      <c r="R4">
        <f>RANK(progress_assignment_fd68e454_ba45_4b85_8205_f3bf777ded24__22[[#This Row],[Persentase]],progress_assignment_fd68e454_ba45_4b85_8205_f3bf777ded24__22[Persentase])</f>
        <v>12</v>
      </c>
    </row>
    <row r="5" spans="1:18" x14ac:dyDescent="0.3">
      <c r="A5">
        <v>7204</v>
      </c>
      <c r="B5">
        <v>50580</v>
      </c>
      <c r="C5">
        <v>44534</v>
      </c>
      <c r="D5">
        <v>12906</v>
      </c>
      <c r="E5">
        <v>4259</v>
      </c>
      <c r="F5">
        <v>3684</v>
      </c>
      <c r="G5">
        <v>23</v>
      </c>
      <c r="H5">
        <v>468</v>
      </c>
      <c r="I5">
        <v>249</v>
      </c>
      <c r="J5">
        <v>48</v>
      </c>
      <c r="L5">
        <v>3</v>
      </c>
      <c r="N5">
        <f>SUM(progress_assignment_fd68e454_ba45_4b85_8205_f3bf777ded24__22[[#This Row],[OPEN]:[EDITED BY Pengawas]])</f>
        <v>116754</v>
      </c>
      <c r="O5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61915</v>
      </c>
      <c r="P5" s="2">
        <f>progress_assignment_fd68e454_ba45_4b85_8205_f3bf777ded24__22[[#This Row],[Not Draft + Open]]/progress_assignment_fd68e454_ba45_4b85_8205_f3bf777ded24__22[[#This Row],[Total]]*100</f>
        <v>53.030303030303031</v>
      </c>
      <c r="Q5" s="4">
        <f>progress_assignment_fd68e454_ba45_4b85_8205_f3bf777ded24__22[[#This Row],[Persentase]]-progress_assignment_fd68e454_ba45_4b85_8205_f3bf777ded24__21[[#This Row],[Persentase]]</f>
        <v>0.79690331870514797</v>
      </c>
      <c r="R5">
        <f>RANK(progress_assignment_fd68e454_ba45_4b85_8205_f3bf777ded24__22[[#This Row],[Persentase]],progress_assignment_fd68e454_ba45_4b85_8205_f3bf777ded24__22[Persentase])</f>
        <v>10</v>
      </c>
    </row>
    <row r="6" spans="1:18" x14ac:dyDescent="0.3">
      <c r="A6">
        <v>7205</v>
      </c>
      <c r="B6">
        <v>50897</v>
      </c>
      <c r="C6">
        <v>59971</v>
      </c>
      <c r="D6">
        <v>8054</v>
      </c>
      <c r="E6">
        <v>2633</v>
      </c>
      <c r="F6">
        <v>917</v>
      </c>
      <c r="G6">
        <v>1078</v>
      </c>
      <c r="H6">
        <v>808</v>
      </c>
      <c r="I6">
        <v>172</v>
      </c>
      <c r="J6">
        <v>5</v>
      </c>
      <c r="L6">
        <v>39</v>
      </c>
      <c r="N6">
        <f>SUM(progress_assignment_fd68e454_ba45_4b85_8205_f3bf777ded24__22[[#This Row],[OPEN]:[EDITED BY Pengawas]])</f>
        <v>124574</v>
      </c>
      <c r="O6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71044</v>
      </c>
      <c r="P6" s="2">
        <f>progress_assignment_fd68e454_ba45_4b85_8205_f3bf777ded24__22[[#This Row],[Not Draft + Open]]/progress_assignment_fd68e454_ba45_4b85_8205_f3bf777ded24__22[[#This Row],[Total]]*100</f>
        <v>57.029556729333564</v>
      </c>
      <c r="Q6" s="4">
        <f>progress_assignment_fd68e454_ba45_4b85_8205_f3bf777ded24__22[[#This Row],[Persentase]]-progress_assignment_fd68e454_ba45_4b85_8205_f3bf777ded24__21[[#This Row],[Persentase]]</f>
        <v>0.92419863743914732</v>
      </c>
      <c r="R6">
        <f>RANK(progress_assignment_fd68e454_ba45_4b85_8205_f3bf777ded24__22[[#This Row],[Persentase]],progress_assignment_fd68e454_ba45_4b85_8205_f3bf777ded24__22[Persentase])</f>
        <v>4</v>
      </c>
    </row>
    <row r="7" spans="1:18" x14ac:dyDescent="0.3">
      <c r="A7">
        <v>7206</v>
      </c>
      <c r="B7">
        <v>39363</v>
      </c>
      <c r="C7">
        <v>42463</v>
      </c>
      <c r="D7">
        <v>5422</v>
      </c>
      <c r="E7">
        <v>2747</v>
      </c>
      <c r="F7">
        <v>632</v>
      </c>
      <c r="H7">
        <v>881</v>
      </c>
      <c r="I7">
        <v>125</v>
      </c>
      <c r="M7">
        <v>1</v>
      </c>
      <c r="N7">
        <f>SUM(progress_assignment_fd68e454_ba45_4b85_8205_f3bf777ded24__22[[#This Row],[OPEN]:[EDITED BY Pengawas]])</f>
        <v>91634</v>
      </c>
      <c r="O7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49524</v>
      </c>
      <c r="P7" s="2">
        <f>progress_assignment_fd68e454_ba45_4b85_8205_f3bf777ded24__22[[#This Row],[Not Draft + Open]]/progress_assignment_fd68e454_ba45_4b85_8205_f3bf777ded24__22[[#This Row],[Total]]*100</f>
        <v>54.045441648296489</v>
      </c>
      <c r="Q7" s="4">
        <f>progress_assignment_fd68e454_ba45_4b85_8205_f3bf777ded24__22[[#This Row],[Persentase]]-progress_assignment_fd68e454_ba45_4b85_8205_f3bf777ded24__21[[#This Row],[Persentase]]</f>
        <v>0.58129780780797802</v>
      </c>
      <c r="R7">
        <f>RANK(progress_assignment_fd68e454_ba45_4b85_8205_f3bf777ded24__22[[#This Row],[Persentase]],progress_assignment_fd68e454_ba45_4b85_8205_f3bf777ded24__22[Persentase])</f>
        <v>7</v>
      </c>
    </row>
    <row r="8" spans="1:18" x14ac:dyDescent="0.3">
      <c r="A8">
        <v>7207</v>
      </c>
      <c r="B8">
        <v>27328</v>
      </c>
      <c r="C8">
        <v>29100</v>
      </c>
      <c r="D8">
        <v>4274</v>
      </c>
      <c r="E8">
        <v>3367</v>
      </c>
      <c r="F8">
        <v>922</v>
      </c>
      <c r="G8">
        <v>80</v>
      </c>
      <c r="H8">
        <v>164</v>
      </c>
      <c r="I8">
        <v>75</v>
      </c>
      <c r="J8">
        <v>46</v>
      </c>
      <c r="L8">
        <v>131</v>
      </c>
      <c r="N8">
        <f>SUM(progress_assignment_fd68e454_ba45_4b85_8205_f3bf777ded24__22[[#This Row],[OPEN]:[EDITED BY Pengawas]])</f>
        <v>65487</v>
      </c>
      <c r="O8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34792</v>
      </c>
      <c r="P8" s="2">
        <f>progress_assignment_fd68e454_ba45_4b85_8205_f3bf777ded24__22[[#This Row],[Not Draft + Open]]/progress_assignment_fd68e454_ba45_4b85_8205_f3bf777ded24__22[[#This Row],[Total]]*100</f>
        <v>53.128101760654786</v>
      </c>
      <c r="Q8" s="4">
        <f>progress_assignment_fd68e454_ba45_4b85_8205_f3bf777ded24__22[[#This Row],[Persentase]]-progress_assignment_fd68e454_ba45_4b85_8205_f3bf777ded24__21[[#This Row],[Persentase]]</f>
        <v>1.2354974758599866</v>
      </c>
      <c r="R8">
        <f>RANK(progress_assignment_fd68e454_ba45_4b85_8205_f3bf777ded24__22[[#This Row],[Persentase]],progress_assignment_fd68e454_ba45_4b85_8205_f3bf777ded24__22[Persentase])</f>
        <v>9</v>
      </c>
    </row>
    <row r="9" spans="1:18" x14ac:dyDescent="0.3">
      <c r="A9">
        <v>7208</v>
      </c>
      <c r="B9">
        <v>79607</v>
      </c>
      <c r="C9">
        <v>72123</v>
      </c>
      <c r="D9">
        <v>28118</v>
      </c>
      <c r="E9">
        <v>4638</v>
      </c>
      <c r="F9">
        <v>4088</v>
      </c>
      <c r="G9">
        <v>1831</v>
      </c>
      <c r="H9">
        <v>112</v>
      </c>
      <c r="I9">
        <v>203</v>
      </c>
      <c r="L9">
        <v>12</v>
      </c>
      <c r="M9">
        <v>5</v>
      </c>
      <c r="N9">
        <f>SUM(progress_assignment_fd68e454_ba45_4b85_8205_f3bf777ded24__22[[#This Row],[OPEN]:[EDITED BY Pengawas]])</f>
        <v>190737</v>
      </c>
      <c r="O9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106492</v>
      </c>
      <c r="P9" s="2">
        <f>progress_assignment_fd68e454_ba45_4b85_8205_f3bf777ded24__22[[#This Row],[Not Draft + Open]]/progress_assignment_fd68e454_ba45_4b85_8205_f3bf777ded24__22[[#This Row],[Total]]*100</f>
        <v>55.83185223632541</v>
      </c>
      <c r="Q9" s="4">
        <f>progress_assignment_fd68e454_ba45_4b85_8205_f3bf777ded24__22[[#This Row],[Persentase]]-progress_assignment_fd68e454_ba45_4b85_8205_f3bf777ded24__21[[#This Row],[Persentase]]</f>
        <v>0.94479624532518613</v>
      </c>
      <c r="R9">
        <f>RANK(progress_assignment_fd68e454_ba45_4b85_8205_f3bf777ded24__22[[#This Row],[Persentase]],progress_assignment_fd68e454_ba45_4b85_8205_f3bf777ded24__22[Persentase])</f>
        <v>5</v>
      </c>
    </row>
    <row r="10" spans="1:18" x14ac:dyDescent="0.3">
      <c r="A10">
        <v>7209</v>
      </c>
      <c r="B10">
        <v>26695</v>
      </c>
      <c r="C10">
        <v>26866</v>
      </c>
      <c r="D10">
        <v>7900</v>
      </c>
      <c r="E10">
        <v>1331</v>
      </c>
      <c r="F10">
        <v>3081</v>
      </c>
      <c r="G10">
        <v>381</v>
      </c>
      <c r="H10">
        <v>9</v>
      </c>
      <c r="I10">
        <v>134</v>
      </c>
      <c r="J10">
        <v>8</v>
      </c>
      <c r="M10">
        <v>1</v>
      </c>
      <c r="N10">
        <f>SUM(progress_assignment_fd68e454_ba45_4b85_8205_f3bf777ded24__22[[#This Row],[OPEN]:[EDITED BY Pengawas]])</f>
        <v>66406</v>
      </c>
      <c r="O10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38380</v>
      </c>
      <c r="P10" s="2">
        <f>progress_assignment_fd68e454_ba45_4b85_8205_f3bf777ded24__22[[#This Row],[Not Draft + Open]]/progress_assignment_fd68e454_ba45_4b85_8205_f3bf777ded24__22[[#This Row],[Total]]*100</f>
        <v>57.795982290756868</v>
      </c>
      <c r="Q10" s="4">
        <f>progress_assignment_fd68e454_ba45_4b85_8205_f3bf777ded24__22[[#This Row],[Persentase]]-progress_assignment_fd68e454_ba45_4b85_8205_f3bf777ded24__21[[#This Row],[Persentase]]</f>
        <v>0.8642430159327219</v>
      </c>
      <c r="R10">
        <f>RANK(progress_assignment_fd68e454_ba45_4b85_8205_f3bf777ded24__22[[#This Row],[Persentase]],progress_assignment_fd68e454_ba45_4b85_8205_f3bf777ded24__22[Persentase])</f>
        <v>3</v>
      </c>
    </row>
    <row r="11" spans="1:18" x14ac:dyDescent="0.3">
      <c r="A11">
        <v>7210</v>
      </c>
      <c r="B11">
        <v>52499</v>
      </c>
      <c r="C11">
        <v>52668</v>
      </c>
      <c r="D11">
        <v>9244</v>
      </c>
      <c r="E11">
        <v>2025</v>
      </c>
      <c r="F11">
        <v>1576</v>
      </c>
      <c r="G11">
        <v>137</v>
      </c>
      <c r="H11">
        <v>465</v>
      </c>
      <c r="I11">
        <v>154</v>
      </c>
      <c r="J11">
        <v>8</v>
      </c>
      <c r="L11">
        <v>10</v>
      </c>
      <c r="N11">
        <f>SUM(progress_assignment_fd68e454_ba45_4b85_8205_f3bf777ded24__22[[#This Row],[OPEN]:[EDITED BY Pengawas]])</f>
        <v>118786</v>
      </c>
      <c r="O11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64262</v>
      </c>
      <c r="P11" s="2">
        <f>progress_assignment_fd68e454_ba45_4b85_8205_f3bf777ded24__22[[#This Row],[Not Draft + Open]]/progress_assignment_fd68e454_ba45_4b85_8205_f3bf777ded24__22[[#This Row],[Total]]*100</f>
        <v>54.098967891839102</v>
      </c>
      <c r="Q11" s="4">
        <f>progress_assignment_fd68e454_ba45_4b85_8205_f3bf777ded24__22[[#This Row],[Persentase]]-progress_assignment_fd68e454_ba45_4b85_8205_f3bf777ded24__21[[#This Row],[Persentase]]</f>
        <v>0.79297010230591525</v>
      </c>
      <c r="R11">
        <f>RANK(progress_assignment_fd68e454_ba45_4b85_8205_f3bf777ded24__22[[#This Row],[Persentase]],progress_assignment_fd68e454_ba45_4b85_8205_f3bf777ded24__22[Persentase])</f>
        <v>6</v>
      </c>
    </row>
    <row r="12" spans="1:18" x14ac:dyDescent="0.3">
      <c r="A12">
        <v>7211</v>
      </c>
      <c r="B12">
        <v>12423</v>
      </c>
      <c r="C12">
        <v>17050</v>
      </c>
      <c r="D12">
        <v>1454</v>
      </c>
      <c r="E12">
        <v>347</v>
      </c>
      <c r="F12">
        <v>132</v>
      </c>
      <c r="G12">
        <v>5</v>
      </c>
      <c r="H12">
        <v>36</v>
      </c>
      <c r="I12">
        <v>18</v>
      </c>
      <c r="J12">
        <v>24</v>
      </c>
      <c r="M12">
        <v>1</v>
      </c>
      <c r="N12">
        <f>SUM(progress_assignment_fd68e454_ba45_4b85_8205_f3bf777ded24__22[[#This Row],[OPEN]:[EDITED BY Pengawas]])</f>
        <v>31490</v>
      </c>
      <c r="O12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18720</v>
      </c>
      <c r="P12" s="2">
        <f>progress_assignment_fd68e454_ba45_4b85_8205_f3bf777ded24__22[[#This Row],[Not Draft + Open]]/progress_assignment_fd68e454_ba45_4b85_8205_f3bf777ded24__22[[#This Row],[Total]]*100</f>
        <v>59.447443632899336</v>
      </c>
      <c r="Q12" s="4">
        <f>progress_assignment_fd68e454_ba45_4b85_8205_f3bf777ded24__22[[#This Row],[Persentase]]-progress_assignment_fd68e454_ba45_4b85_8205_f3bf777ded24__21[[#This Row],[Persentase]]</f>
        <v>1.0607272482863976</v>
      </c>
      <c r="R12">
        <f>RANK(progress_assignment_fd68e454_ba45_4b85_8205_f3bf777ded24__22[[#This Row],[Persentase]],progress_assignment_fd68e454_ba45_4b85_8205_f3bf777ded24__22[Persentase])</f>
        <v>1</v>
      </c>
    </row>
    <row r="13" spans="1:18" x14ac:dyDescent="0.3">
      <c r="A13">
        <v>7212</v>
      </c>
      <c r="B13">
        <v>23686</v>
      </c>
      <c r="C13">
        <v>15725</v>
      </c>
      <c r="D13">
        <v>6432</v>
      </c>
      <c r="E13">
        <v>824</v>
      </c>
      <c r="F13">
        <v>678</v>
      </c>
      <c r="G13">
        <v>35</v>
      </c>
      <c r="H13">
        <v>17</v>
      </c>
      <c r="I13">
        <v>81</v>
      </c>
      <c r="J13">
        <v>1</v>
      </c>
      <c r="N13">
        <f>SUM(progress_assignment_fd68e454_ba45_4b85_8205_f3bf777ded24__22[[#This Row],[OPEN]:[EDITED BY Pengawas]])</f>
        <v>47479</v>
      </c>
      <c r="O13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22969</v>
      </c>
      <c r="P13" s="2">
        <f>progress_assignment_fd68e454_ba45_4b85_8205_f3bf777ded24__22[[#This Row],[Not Draft + Open]]/progress_assignment_fd68e454_ba45_4b85_8205_f3bf777ded24__22[[#This Row],[Total]]*100</f>
        <v>48.377177278375704</v>
      </c>
      <c r="Q13" s="4">
        <f>progress_assignment_fd68e454_ba45_4b85_8205_f3bf777ded24__22[[#This Row],[Persentase]]-progress_assignment_fd68e454_ba45_4b85_8205_f3bf777ded24__21[[#This Row],[Persentase]]</f>
        <v>0.45392195474087771</v>
      </c>
      <c r="R13">
        <f>RANK(progress_assignment_fd68e454_ba45_4b85_8205_f3bf777ded24__22[[#This Row],[Persentase]],progress_assignment_fd68e454_ba45_4b85_8205_f3bf777ded24__22[Persentase])</f>
        <v>11</v>
      </c>
    </row>
    <row r="14" spans="1:18" x14ac:dyDescent="0.3">
      <c r="A14">
        <v>7271</v>
      </c>
      <c r="B14">
        <v>102450</v>
      </c>
      <c r="C14">
        <v>57354</v>
      </c>
      <c r="D14">
        <v>20065</v>
      </c>
      <c r="E14">
        <v>8002</v>
      </c>
      <c r="F14">
        <v>2802</v>
      </c>
      <c r="G14">
        <v>2537</v>
      </c>
      <c r="H14">
        <v>1565</v>
      </c>
      <c r="I14">
        <v>216</v>
      </c>
      <c r="J14">
        <v>38</v>
      </c>
      <c r="K14">
        <v>6</v>
      </c>
      <c r="N14">
        <f>SUM(progress_assignment_fd68e454_ba45_4b85_8205_f3bf777ded24__22[[#This Row],[OPEN]:[EDITED BY Pengawas]])</f>
        <v>195035</v>
      </c>
      <c r="O14">
        <f>progress_assignment_fd68e454_ba45_4b85_8205_f3bf777ded24__22[[#This Row],[EDITED BY Pengawas]]+progress_assignment_fd68e454_ba45_4b85_8205_f3bf777ded24__22[[#This Row],[REJECTED BY Admin Kabupaten]]+progress_assignment_fd68e454_ba45_4b85_8205_f3bf777ded24__22[[#This Row],[REVOKED BY Admin Kabupaten]]+progress_assignment_fd68e454_ba45_4b85_8205_f3bf777ded24__22[[#This Row],[SUBMITTED RESPONDENT]]+progress_assignment_fd68e454_ba45_4b85_8205_f3bf777ded24__22[[#This Row],[REVOKED BY Pengawas]]+progress_assignment_fd68e454_ba45_4b85_8205_f3bf777ded24__22[[#This Row],[EDITED BY Admin Kabupaten]]+progress_assignment_fd68e454_ba45_4b85_8205_f3bf777ded24__22[[#This Row],[COMPLETED BY Admin Kabupaten]]+progress_assignment_fd68e454_ba45_4b85_8205_f3bf777ded24__22[[#This Row],[REJECTED BY Pengawas]]+progress_assignment_fd68e454_ba45_4b85_8205_f3bf777ded24__22[[#This Row],[SUBMITTED BY Pencacah]]+progress_assignment_fd68e454_ba45_4b85_8205_f3bf777ded24__22[[#This Row],[APPROVED BY Pengawas]]</f>
        <v>84583</v>
      </c>
      <c r="P14" s="2">
        <f>progress_assignment_fd68e454_ba45_4b85_8205_f3bf777ded24__22[[#This Row],[Not Draft + Open]]/progress_assignment_fd68e454_ba45_4b85_8205_f3bf777ded24__22[[#This Row],[Total]]*100</f>
        <v>43.368113415540797</v>
      </c>
      <c r="Q14" s="4">
        <f>progress_assignment_fd68e454_ba45_4b85_8205_f3bf777ded24__22[[#This Row],[Persentase]]-progress_assignment_fd68e454_ba45_4b85_8205_f3bf777ded24__21[[#This Row],[Persentase]]</f>
        <v>0.8417792091176679</v>
      </c>
      <c r="R14">
        <f>RANK(progress_assignment_fd68e454_ba45_4b85_8205_f3bf777ded24__22[[#This Row],[Persentase]],progress_assignment_fd68e454_ba45_4b85_8205_f3bf777ded24__22[Persentase])</f>
        <v>13</v>
      </c>
    </row>
    <row r="16" spans="1:18" x14ac:dyDescent="0.3">
      <c r="A16" s="5">
        <v>7200</v>
      </c>
      <c r="B16" s="5">
        <f>SUM(progress_assignment_fd68e454_ba45_4b85_8205_f3bf777ded24__22[OPEN])</f>
        <v>585824</v>
      </c>
      <c r="C16" s="5">
        <f>SUM(progress_assignment_fd68e454_ba45_4b85_8205_f3bf777ded24__22[APPROVED BY Pengawas])</f>
        <v>495664</v>
      </c>
      <c r="D16" s="5">
        <f>SUM(progress_assignment_fd68e454_ba45_4b85_8205_f3bf777ded24__22[SUBMITTED BY Pencacah])</f>
        <v>166064</v>
      </c>
      <c r="E16" s="5">
        <f>SUM(progress_assignment_fd68e454_ba45_4b85_8205_f3bf777ded24__22[DRAFT])</f>
        <v>39596</v>
      </c>
      <c r="F16" s="5">
        <f>SUM(progress_assignment_fd68e454_ba45_4b85_8205_f3bf777ded24__22[REJECTED BY Pengawas])</f>
        <v>24123</v>
      </c>
      <c r="G16" s="5">
        <f>SUM(progress_assignment_fd68e454_ba45_4b85_8205_f3bf777ded24__22[COMPLETED BY Admin Kabupaten])</f>
        <v>6199</v>
      </c>
      <c r="H16" s="5">
        <f>SUM(progress_assignment_fd68e454_ba45_4b85_8205_f3bf777ded24__22[EDITED BY Admin Kabupaten])</f>
        <v>4806</v>
      </c>
      <c r="I16" s="5">
        <f>SUM(progress_assignment_fd68e454_ba45_4b85_8205_f3bf777ded24__22[REVOKED BY Pengawas])</f>
        <v>1769</v>
      </c>
      <c r="J16" s="5">
        <f>SUM(progress_assignment_fd68e454_ba45_4b85_8205_f3bf777ded24__22[SUBMITTED RESPONDENT])</f>
        <v>272</v>
      </c>
      <c r="K16" s="5">
        <f>SUM(progress_assignment_fd68e454_ba45_4b85_8205_f3bf777ded24__22[REVOKED BY Admin Kabupaten])</f>
        <v>6</v>
      </c>
      <c r="L16" s="5">
        <f>SUM(progress_assignment_fd68e454_ba45_4b85_8205_f3bf777ded24__22[REJECTED BY Admin Kabupaten])</f>
        <v>196</v>
      </c>
      <c r="M16" s="5">
        <f>SUM(progress_assignment_fd68e454_ba45_4b85_8205_f3bf777ded24__22[EDITED BY Pengawas])</f>
        <v>10</v>
      </c>
      <c r="N16" s="5">
        <f>SUM(progress_assignment_fd68e454_ba45_4b85_8205_f3bf777ded24__22[Total])</f>
        <v>1324529</v>
      </c>
      <c r="O16" s="5">
        <f>SUM(progress_assignment_fd68e454_ba45_4b85_8205_f3bf777ded24__22[Not Draft + Open])</f>
        <v>699109</v>
      </c>
      <c r="P16" s="6">
        <f>O16/N16*100</f>
        <v>52.781705798816034</v>
      </c>
      <c r="Q16" s="7">
        <f>P16-'22 Juli'!P16</f>
        <v>0.85449529302216831</v>
      </c>
      <c r="R16" s="5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4E296-DA2F-4233-910D-6841E92B7AD7}">
  <dimension ref="A1:R16"/>
  <sheetViews>
    <sheetView workbookViewId="0">
      <selection activeCell="N1" sqref="N1:R1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32.44140625" hidden="1" customWidth="1"/>
    <col min="8" max="8" width="27.88671875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t="s">
        <v>14</v>
      </c>
      <c r="Q1" t="s">
        <v>16</v>
      </c>
      <c r="R1" t="s">
        <v>17</v>
      </c>
    </row>
    <row r="2" spans="1:18" x14ac:dyDescent="0.3">
      <c r="A2">
        <v>7201</v>
      </c>
      <c r="B2">
        <v>19166</v>
      </c>
      <c r="C2">
        <v>18799</v>
      </c>
      <c r="D2">
        <v>9750</v>
      </c>
      <c r="E2">
        <v>2092</v>
      </c>
      <c r="F2">
        <v>1012</v>
      </c>
      <c r="G2">
        <v>4</v>
      </c>
      <c r="H2">
        <v>205</v>
      </c>
      <c r="I2">
        <v>77</v>
      </c>
      <c r="J2">
        <v>90</v>
      </c>
      <c r="M2">
        <v>1</v>
      </c>
      <c r="N2">
        <f>SUM(progress_assignment_fd68e454_ba45_4b85_8205_f3bf777ded24__23[[#This Row],[OPEN]:[EDITED BY Pengawas]])</f>
        <v>51196</v>
      </c>
      <c r="O2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29938</v>
      </c>
      <c r="P2" s="2">
        <f>progress_assignment_fd68e454_ba45_4b85_8205_f3bf777ded24__23[[#This Row],[Not Draft + Open]]/progress_assignment_fd68e454_ba45_4b85_8205_f3bf777ded24__23[[#This Row],[Total]]*100</f>
        <v>58.477224783186188</v>
      </c>
      <c r="Q2" s="4">
        <f>progress_assignment_fd68e454_ba45_4b85_8205_f3bf777ded24__23[[#This Row],[Persentase]]-progress_assignment_fd68e454_ba45_4b85_8205_f3bf777ded24__22[[#This Row],[Persentase]]</f>
        <v>0.29913857460442728</v>
      </c>
      <c r="R2">
        <f>RANK(progress_assignment_fd68e454_ba45_4b85_8205_f3bf777ded24__23[[#This Row],[Persentase]],progress_assignment_fd68e454_ba45_4b85_8205_f3bf777ded24__23[Persentase])</f>
        <v>3</v>
      </c>
    </row>
    <row r="3" spans="1:18" x14ac:dyDescent="0.3">
      <c r="A3">
        <v>7202</v>
      </c>
      <c r="B3">
        <v>68487</v>
      </c>
      <c r="C3">
        <v>42685</v>
      </c>
      <c r="D3">
        <v>41318</v>
      </c>
      <c r="E3">
        <v>4755</v>
      </c>
      <c r="F3">
        <v>4611</v>
      </c>
      <c r="G3">
        <v>14</v>
      </c>
      <c r="H3">
        <v>87</v>
      </c>
      <c r="I3">
        <v>187</v>
      </c>
      <c r="J3">
        <v>4</v>
      </c>
      <c r="M3">
        <v>1</v>
      </c>
      <c r="N3">
        <f>SUM(progress_assignment_fd68e454_ba45_4b85_8205_f3bf777ded24__23[[#This Row],[OPEN]:[EDITED BY Pengawas]])</f>
        <v>162149</v>
      </c>
      <c r="O3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88907</v>
      </c>
      <c r="P3" s="2">
        <f>progress_assignment_fd68e454_ba45_4b85_8205_f3bf777ded24__23[[#This Row],[Not Draft + Open]]/progress_assignment_fd68e454_ba45_4b85_8205_f3bf777ded24__23[[#This Row],[Total]]*100</f>
        <v>54.83043373687164</v>
      </c>
      <c r="Q3" s="4">
        <f>progress_assignment_fd68e454_ba45_4b85_8205_f3bf777ded24__23[[#This Row],[Persentase]]-progress_assignment_fd68e454_ba45_4b85_8205_f3bf777ded24__22[[#This Row],[Persentase]]</f>
        <v>0.89534020029834238</v>
      </c>
      <c r="R3">
        <f>RANK(progress_assignment_fd68e454_ba45_4b85_8205_f3bf777ded24__23[[#This Row],[Persentase]],progress_assignment_fd68e454_ba45_4b85_8205_f3bf777ded24__23[Persentase])</f>
        <v>7</v>
      </c>
    </row>
    <row r="4" spans="1:18" x14ac:dyDescent="0.3">
      <c r="A4">
        <v>7203</v>
      </c>
      <c r="B4">
        <v>30563</v>
      </c>
      <c r="C4">
        <v>19334</v>
      </c>
      <c r="D4">
        <v>10487</v>
      </c>
      <c r="E4">
        <v>2706</v>
      </c>
      <c r="F4">
        <v>579</v>
      </c>
      <c r="G4">
        <v>82</v>
      </c>
      <c r="H4">
        <v>50</v>
      </c>
      <c r="I4">
        <v>34</v>
      </c>
      <c r="L4">
        <v>6</v>
      </c>
      <c r="N4">
        <f>SUM(progress_assignment_fd68e454_ba45_4b85_8205_f3bf777ded24__23[[#This Row],[OPEN]:[EDITED BY Pengawas]])</f>
        <v>63841</v>
      </c>
      <c r="O4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30572</v>
      </c>
      <c r="P4" s="2">
        <f>progress_assignment_fd68e454_ba45_4b85_8205_f3bf777ded24__23[[#This Row],[Not Draft + Open]]/progress_assignment_fd68e454_ba45_4b85_8205_f3bf777ded24__23[[#This Row],[Total]]*100</f>
        <v>47.887721057000988</v>
      </c>
      <c r="Q4" s="4">
        <f>progress_assignment_fd68e454_ba45_4b85_8205_f3bf777ded24__23[[#This Row],[Persentase]]-progress_assignment_fd68e454_ba45_4b85_8205_f3bf777ded24__22[[#This Row],[Persentase]]</f>
        <v>1.3450335096405439</v>
      </c>
      <c r="R4">
        <f>RANK(progress_assignment_fd68e454_ba45_4b85_8205_f3bf777ded24__23[[#This Row],[Persentase]],progress_assignment_fd68e454_ba45_4b85_8205_f3bf777ded24__23[Persentase])</f>
        <v>12</v>
      </c>
    </row>
    <row r="5" spans="1:18" x14ac:dyDescent="0.3">
      <c r="A5">
        <v>7204</v>
      </c>
      <c r="B5">
        <v>49558</v>
      </c>
      <c r="C5">
        <v>45386</v>
      </c>
      <c r="D5">
        <v>12879</v>
      </c>
      <c r="E5">
        <v>4353</v>
      </c>
      <c r="F5">
        <v>3955</v>
      </c>
      <c r="G5">
        <v>23</v>
      </c>
      <c r="H5">
        <v>522</v>
      </c>
      <c r="I5">
        <v>261</v>
      </c>
      <c r="J5">
        <v>48</v>
      </c>
      <c r="L5">
        <v>3</v>
      </c>
      <c r="N5">
        <f>SUM(progress_assignment_fd68e454_ba45_4b85_8205_f3bf777ded24__23[[#This Row],[OPEN]:[EDITED BY Pengawas]])</f>
        <v>116988</v>
      </c>
      <c r="O5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63077</v>
      </c>
      <c r="P5" s="2">
        <f>progress_assignment_fd68e454_ba45_4b85_8205_f3bf777ded24__23[[#This Row],[Not Draft + Open]]/progress_assignment_fd68e454_ba45_4b85_8205_f3bf777ded24__23[[#This Row],[Total]]*100</f>
        <v>53.917495811536234</v>
      </c>
      <c r="Q5" s="4">
        <f>progress_assignment_fd68e454_ba45_4b85_8205_f3bf777ded24__23[[#This Row],[Persentase]]-progress_assignment_fd68e454_ba45_4b85_8205_f3bf777ded24__22[[#This Row],[Persentase]]</f>
        <v>0.88719278123320322</v>
      </c>
      <c r="R5">
        <f>RANK(progress_assignment_fd68e454_ba45_4b85_8205_f3bf777ded24__23[[#This Row],[Persentase]],progress_assignment_fd68e454_ba45_4b85_8205_f3bf777ded24__23[Persentase])</f>
        <v>9</v>
      </c>
    </row>
    <row r="6" spans="1:18" x14ac:dyDescent="0.3">
      <c r="A6">
        <v>7205</v>
      </c>
      <c r="B6">
        <v>49932</v>
      </c>
      <c r="C6">
        <v>61255</v>
      </c>
      <c r="D6">
        <v>7885</v>
      </c>
      <c r="E6">
        <v>2731</v>
      </c>
      <c r="F6">
        <v>1064</v>
      </c>
      <c r="G6">
        <v>1095</v>
      </c>
      <c r="H6">
        <v>809</v>
      </c>
      <c r="I6">
        <v>180</v>
      </c>
      <c r="J6">
        <v>5</v>
      </c>
      <c r="L6">
        <v>27</v>
      </c>
      <c r="N6">
        <f>SUM(progress_assignment_fd68e454_ba45_4b85_8205_f3bf777ded24__23[[#This Row],[OPEN]:[EDITED BY Pengawas]])</f>
        <v>124983</v>
      </c>
      <c r="O6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72320</v>
      </c>
      <c r="P6" s="2">
        <f>progress_assignment_fd68e454_ba45_4b85_8205_f3bf777ded24__23[[#This Row],[Not Draft + Open]]/progress_assignment_fd68e454_ba45_4b85_8205_f3bf777ded24__23[[#This Row],[Total]]*100</f>
        <v>57.863869486250131</v>
      </c>
      <c r="Q6" s="4">
        <f>progress_assignment_fd68e454_ba45_4b85_8205_f3bf777ded24__23[[#This Row],[Persentase]]-progress_assignment_fd68e454_ba45_4b85_8205_f3bf777ded24__22[[#This Row],[Persentase]]</f>
        <v>0.83431275691656737</v>
      </c>
      <c r="R6">
        <f>RANK(progress_assignment_fd68e454_ba45_4b85_8205_f3bf777ded24__23[[#This Row],[Persentase]],progress_assignment_fd68e454_ba45_4b85_8205_f3bf777ded24__23[Persentase])</f>
        <v>4</v>
      </c>
    </row>
    <row r="7" spans="1:18" x14ac:dyDescent="0.3">
      <c r="A7">
        <v>7206</v>
      </c>
      <c r="B7">
        <v>38847</v>
      </c>
      <c r="C7">
        <v>42787</v>
      </c>
      <c r="D7">
        <v>5687</v>
      </c>
      <c r="E7">
        <v>2802</v>
      </c>
      <c r="F7">
        <v>631</v>
      </c>
      <c r="H7">
        <v>996</v>
      </c>
      <c r="I7">
        <v>127</v>
      </c>
      <c r="M7">
        <v>1</v>
      </c>
      <c r="N7">
        <f>SUM(progress_assignment_fd68e454_ba45_4b85_8205_f3bf777ded24__23[[#This Row],[OPEN]:[EDITED BY Pengawas]])</f>
        <v>91878</v>
      </c>
      <c r="O7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50229</v>
      </c>
      <c r="P7" s="2">
        <f>progress_assignment_fd68e454_ba45_4b85_8205_f3bf777ded24__23[[#This Row],[Not Draft + Open]]/progress_assignment_fd68e454_ba45_4b85_8205_f3bf777ded24__23[[#This Row],[Total]]*100</f>
        <v>54.669235290276241</v>
      </c>
      <c r="Q7" s="4">
        <f>progress_assignment_fd68e454_ba45_4b85_8205_f3bf777ded24__23[[#This Row],[Persentase]]-progress_assignment_fd68e454_ba45_4b85_8205_f3bf777ded24__22[[#This Row],[Persentase]]</f>
        <v>0.62379364197975207</v>
      </c>
      <c r="R7">
        <f>RANK(progress_assignment_fd68e454_ba45_4b85_8205_f3bf777ded24__23[[#This Row],[Persentase]],progress_assignment_fd68e454_ba45_4b85_8205_f3bf777ded24__23[Persentase])</f>
        <v>8</v>
      </c>
    </row>
    <row r="8" spans="1:18" x14ac:dyDescent="0.3">
      <c r="A8">
        <v>7207</v>
      </c>
      <c r="B8">
        <v>27008</v>
      </c>
      <c r="C8">
        <v>29546</v>
      </c>
      <c r="D8">
        <v>3984</v>
      </c>
      <c r="E8">
        <v>3466</v>
      </c>
      <c r="F8">
        <v>1105</v>
      </c>
      <c r="G8">
        <v>81</v>
      </c>
      <c r="H8">
        <v>173</v>
      </c>
      <c r="I8">
        <v>75</v>
      </c>
      <c r="J8">
        <v>46</v>
      </c>
      <c r="L8">
        <v>140</v>
      </c>
      <c r="N8">
        <f>SUM(progress_assignment_fd68e454_ba45_4b85_8205_f3bf777ded24__23[[#This Row],[OPEN]:[EDITED BY Pengawas]])</f>
        <v>65624</v>
      </c>
      <c r="O8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35150</v>
      </c>
      <c r="P8" s="2">
        <f>progress_assignment_fd68e454_ba45_4b85_8205_f3bf777ded24__23[[#This Row],[Not Draft + Open]]/progress_assignment_fd68e454_ba45_4b85_8205_f3bf777ded24__23[[#This Row],[Total]]*100</f>
        <v>53.562720955747899</v>
      </c>
      <c r="Q8" s="4">
        <f>progress_assignment_fd68e454_ba45_4b85_8205_f3bf777ded24__23[[#This Row],[Persentase]]-progress_assignment_fd68e454_ba45_4b85_8205_f3bf777ded24__22[[#This Row],[Persentase]]</f>
        <v>0.43461919509311286</v>
      </c>
      <c r="R8">
        <f>RANK(progress_assignment_fd68e454_ba45_4b85_8205_f3bf777ded24__23[[#This Row],[Persentase]],progress_assignment_fd68e454_ba45_4b85_8205_f3bf777ded24__23[Persentase])</f>
        <v>10</v>
      </c>
    </row>
    <row r="9" spans="1:18" x14ac:dyDescent="0.3">
      <c r="A9">
        <v>7208</v>
      </c>
      <c r="B9">
        <v>78216</v>
      </c>
      <c r="C9">
        <v>73331</v>
      </c>
      <c r="D9">
        <v>28388</v>
      </c>
      <c r="E9">
        <v>4684</v>
      </c>
      <c r="F9">
        <v>4330</v>
      </c>
      <c r="G9">
        <v>1839</v>
      </c>
      <c r="H9">
        <v>111</v>
      </c>
      <c r="I9">
        <v>209</v>
      </c>
      <c r="L9">
        <v>12</v>
      </c>
      <c r="M9">
        <v>5</v>
      </c>
      <c r="N9">
        <f>SUM(progress_assignment_fd68e454_ba45_4b85_8205_f3bf777ded24__23[[#This Row],[OPEN]:[EDITED BY Pengawas]])</f>
        <v>191125</v>
      </c>
      <c r="O9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108225</v>
      </c>
      <c r="P9" s="2">
        <f>progress_assignment_fd68e454_ba45_4b85_8205_f3bf777ded24__23[[#This Row],[Not Draft + Open]]/progress_assignment_fd68e454_ba45_4b85_8205_f3bf777ded24__23[[#This Row],[Total]]*100</f>
        <v>56.625245258338786</v>
      </c>
      <c r="Q9" s="4">
        <f>progress_assignment_fd68e454_ba45_4b85_8205_f3bf777ded24__23[[#This Row],[Persentase]]-progress_assignment_fd68e454_ba45_4b85_8205_f3bf777ded24__22[[#This Row],[Persentase]]</f>
        <v>0.79339302201337603</v>
      </c>
      <c r="R9">
        <f>RANK(progress_assignment_fd68e454_ba45_4b85_8205_f3bf777ded24__23[[#This Row],[Persentase]],progress_assignment_fd68e454_ba45_4b85_8205_f3bf777ded24__23[Persentase])</f>
        <v>5</v>
      </c>
    </row>
    <row r="10" spans="1:18" x14ac:dyDescent="0.3">
      <c r="A10">
        <v>7209</v>
      </c>
      <c r="B10">
        <v>26009</v>
      </c>
      <c r="C10">
        <v>27647</v>
      </c>
      <c r="D10">
        <v>7579</v>
      </c>
      <c r="E10">
        <v>1364</v>
      </c>
      <c r="F10">
        <v>3276</v>
      </c>
      <c r="G10">
        <v>579</v>
      </c>
      <c r="H10">
        <v>15</v>
      </c>
      <c r="I10">
        <v>134</v>
      </c>
      <c r="J10">
        <v>8</v>
      </c>
      <c r="M10">
        <v>1</v>
      </c>
      <c r="N10">
        <f>SUM(progress_assignment_fd68e454_ba45_4b85_8205_f3bf777ded24__23[[#This Row],[OPEN]:[EDITED BY Pengawas]])</f>
        <v>66612</v>
      </c>
      <c r="O10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39239</v>
      </c>
      <c r="P10" s="2">
        <f>progress_assignment_fd68e454_ba45_4b85_8205_f3bf777ded24__23[[#This Row],[Not Draft + Open]]/progress_assignment_fd68e454_ba45_4b85_8205_f3bf777ded24__23[[#This Row],[Total]]*100</f>
        <v>58.906803578934728</v>
      </c>
      <c r="Q10" s="4">
        <f>progress_assignment_fd68e454_ba45_4b85_8205_f3bf777ded24__23[[#This Row],[Persentase]]-progress_assignment_fd68e454_ba45_4b85_8205_f3bf777ded24__22[[#This Row],[Persentase]]</f>
        <v>1.1108212881778599</v>
      </c>
      <c r="R10">
        <f>RANK(progress_assignment_fd68e454_ba45_4b85_8205_f3bf777ded24__23[[#This Row],[Persentase]],progress_assignment_fd68e454_ba45_4b85_8205_f3bf777ded24__23[Persentase])</f>
        <v>2</v>
      </c>
    </row>
    <row r="11" spans="1:18" x14ac:dyDescent="0.3">
      <c r="A11">
        <v>7210</v>
      </c>
      <c r="B11">
        <v>51688</v>
      </c>
      <c r="C11">
        <v>53544</v>
      </c>
      <c r="D11">
        <v>9508</v>
      </c>
      <c r="E11">
        <v>2043</v>
      </c>
      <c r="F11">
        <v>1526</v>
      </c>
      <c r="G11">
        <v>137</v>
      </c>
      <c r="H11">
        <v>465</v>
      </c>
      <c r="I11">
        <v>141</v>
      </c>
      <c r="J11">
        <v>8</v>
      </c>
      <c r="L11">
        <v>10</v>
      </c>
      <c r="N11">
        <f>SUM(progress_assignment_fd68e454_ba45_4b85_8205_f3bf777ded24__23[[#This Row],[OPEN]:[EDITED BY Pengawas]])</f>
        <v>119070</v>
      </c>
      <c r="O11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65339</v>
      </c>
      <c r="P11" s="2">
        <f>progress_assignment_fd68e454_ba45_4b85_8205_f3bf777ded24__23[[#This Row],[Not Draft + Open]]/progress_assignment_fd68e454_ba45_4b85_8205_f3bf777ded24__23[[#This Row],[Total]]*100</f>
        <v>54.874443604602327</v>
      </c>
      <c r="Q11" s="4">
        <f>progress_assignment_fd68e454_ba45_4b85_8205_f3bf777ded24__23[[#This Row],[Persentase]]-progress_assignment_fd68e454_ba45_4b85_8205_f3bf777ded24__22[[#This Row],[Persentase]]</f>
        <v>0.77547571276322458</v>
      </c>
      <c r="R11">
        <f>RANK(progress_assignment_fd68e454_ba45_4b85_8205_f3bf777ded24__23[[#This Row],[Persentase]],progress_assignment_fd68e454_ba45_4b85_8205_f3bf777ded24__23[Persentase])</f>
        <v>6</v>
      </c>
    </row>
    <row r="12" spans="1:18" x14ac:dyDescent="0.3">
      <c r="A12">
        <v>7211</v>
      </c>
      <c r="B12">
        <v>12000</v>
      </c>
      <c r="C12">
        <v>17308</v>
      </c>
      <c r="D12">
        <v>1709</v>
      </c>
      <c r="E12">
        <v>383</v>
      </c>
      <c r="F12">
        <v>113</v>
      </c>
      <c r="G12">
        <v>19</v>
      </c>
      <c r="H12">
        <v>36</v>
      </c>
      <c r="I12">
        <v>18</v>
      </c>
      <c r="J12">
        <v>24</v>
      </c>
      <c r="M12">
        <v>1</v>
      </c>
      <c r="N12">
        <f>SUM(progress_assignment_fd68e454_ba45_4b85_8205_f3bf777ded24__23[[#This Row],[OPEN]:[EDITED BY Pengawas]])</f>
        <v>31611</v>
      </c>
      <c r="O12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19228</v>
      </c>
      <c r="P12" s="2">
        <f>progress_assignment_fd68e454_ba45_4b85_8205_f3bf777ded24__23[[#This Row],[Not Draft + Open]]/progress_assignment_fd68e454_ba45_4b85_8205_f3bf777ded24__23[[#This Row],[Total]]*100</f>
        <v>60.82692733542121</v>
      </c>
      <c r="Q12" s="4">
        <f>progress_assignment_fd68e454_ba45_4b85_8205_f3bf777ded24__23[[#This Row],[Persentase]]-progress_assignment_fd68e454_ba45_4b85_8205_f3bf777ded24__22[[#This Row],[Persentase]]</f>
        <v>1.379483702521874</v>
      </c>
      <c r="R12">
        <f>RANK(progress_assignment_fd68e454_ba45_4b85_8205_f3bf777ded24__23[[#This Row],[Persentase]],progress_assignment_fd68e454_ba45_4b85_8205_f3bf777ded24__23[Persentase])</f>
        <v>1</v>
      </c>
    </row>
    <row r="13" spans="1:18" x14ac:dyDescent="0.3">
      <c r="A13">
        <v>7212</v>
      </c>
      <c r="B13">
        <v>23375</v>
      </c>
      <c r="C13">
        <v>16209</v>
      </c>
      <c r="D13">
        <v>6135</v>
      </c>
      <c r="E13">
        <v>800</v>
      </c>
      <c r="F13">
        <v>886</v>
      </c>
      <c r="G13">
        <v>35</v>
      </c>
      <c r="H13">
        <v>16</v>
      </c>
      <c r="I13">
        <v>121</v>
      </c>
      <c r="J13">
        <v>1</v>
      </c>
      <c r="N13">
        <f>SUM(progress_assignment_fd68e454_ba45_4b85_8205_f3bf777ded24__23[[#This Row],[OPEN]:[EDITED BY Pengawas]])</f>
        <v>47578</v>
      </c>
      <c r="O13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23403</v>
      </c>
      <c r="P13" s="2">
        <f>progress_assignment_fd68e454_ba45_4b85_8205_f3bf777ded24__23[[#This Row],[Not Draft + Open]]/progress_assignment_fd68e454_ba45_4b85_8205_f3bf777ded24__23[[#This Row],[Total]]*100</f>
        <v>49.188700659968895</v>
      </c>
      <c r="Q13" s="4">
        <f>progress_assignment_fd68e454_ba45_4b85_8205_f3bf777ded24__23[[#This Row],[Persentase]]-progress_assignment_fd68e454_ba45_4b85_8205_f3bf777ded24__22[[#This Row],[Persentase]]</f>
        <v>0.81152338159319015</v>
      </c>
      <c r="R13">
        <f>RANK(progress_assignment_fd68e454_ba45_4b85_8205_f3bf777ded24__23[[#This Row],[Persentase]],progress_assignment_fd68e454_ba45_4b85_8205_f3bf777ded24__23[Persentase])</f>
        <v>11</v>
      </c>
    </row>
    <row r="14" spans="1:18" x14ac:dyDescent="0.3">
      <c r="A14">
        <v>7271</v>
      </c>
      <c r="B14">
        <v>101266</v>
      </c>
      <c r="C14">
        <v>60651</v>
      </c>
      <c r="D14">
        <v>18513</v>
      </c>
      <c r="E14">
        <v>7969</v>
      </c>
      <c r="F14">
        <v>2840</v>
      </c>
      <c r="G14">
        <v>2621</v>
      </c>
      <c r="H14">
        <v>1586</v>
      </c>
      <c r="I14">
        <v>218</v>
      </c>
      <c r="J14">
        <v>49</v>
      </c>
      <c r="K14">
        <v>6</v>
      </c>
      <c r="N14">
        <f>SUM(progress_assignment_fd68e454_ba45_4b85_8205_f3bf777ded24__23[[#This Row],[OPEN]:[EDITED BY Pengawas]])</f>
        <v>195719</v>
      </c>
      <c r="O14">
        <f>progress_assignment_fd68e454_ba45_4b85_8205_f3bf777ded24__23[[#This Row],[EDITED BY Pengawas]]+progress_assignment_fd68e454_ba45_4b85_8205_f3bf777ded24__23[[#This Row],[REJECTED BY Admin Kabupaten]]+progress_assignment_fd68e454_ba45_4b85_8205_f3bf777ded24__23[[#This Row],[REVOKED BY Admin Kabupaten]]+progress_assignment_fd68e454_ba45_4b85_8205_f3bf777ded24__23[[#This Row],[SUBMITTED RESPONDENT]]+progress_assignment_fd68e454_ba45_4b85_8205_f3bf777ded24__23[[#This Row],[REVOKED BY Pengawas]]+progress_assignment_fd68e454_ba45_4b85_8205_f3bf777ded24__23[[#This Row],[EDITED BY Admin Kabupaten]]+progress_assignment_fd68e454_ba45_4b85_8205_f3bf777ded24__23[[#This Row],[COMPLETED BY Admin Kabupaten]]+progress_assignment_fd68e454_ba45_4b85_8205_f3bf777ded24__23[[#This Row],[REJECTED BY Pengawas]]+progress_assignment_fd68e454_ba45_4b85_8205_f3bf777ded24__23[[#This Row],[SUBMITTED BY Pencacah]]+progress_assignment_fd68e454_ba45_4b85_8205_f3bf777ded24__23[[#This Row],[APPROVED BY Pengawas]]</f>
        <v>86484</v>
      </c>
      <c r="P14" s="2">
        <f>progress_assignment_fd68e454_ba45_4b85_8205_f3bf777ded24__23[[#This Row],[Not Draft + Open]]/progress_assignment_fd68e454_ba45_4b85_8205_f3bf777ded24__23[[#This Row],[Total]]*100</f>
        <v>44.18784073084371</v>
      </c>
      <c r="Q14" s="4">
        <f>progress_assignment_fd68e454_ba45_4b85_8205_f3bf777ded24__23[[#This Row],[Persentase]]-progress_assignment_fd68e454_ba45_4b85_8205_f3bf777ded24__22[[#This Row],[Persentase]]</f>
        <v>0.81972731530291298</v>
      </c>
      <c r="R14">
        <f>RANK(progress_assignment_fd68e454_ba45_4b85_8205_f3bf777ded24__23[[#This Row],[Persentase]],progress_assignment_fd68e454_ba45_4b85_8205_f3bf777ded24__23[Persentase])</f>
        <v>13</v>
      </c>
    </row>
    <row r="15" spans="1:18" x14ac:dyDescent="0.3">
      <c r="P15" s="2"/>
    </row>
    <row r="16" spans="1:18" x14ac:dyDescent="0.3">
      <c r="A16" s="5">
        <v>7200</v>
      </c>
      <c r="B16" s="5">
        <f>SUM(progress_assignment_fd68e454_ba45_4b85_8205_f3bf777ded24__23[OPEN])</f>
        <v>576115</v>
      </c>
      <c r="C16" s="5">
        <f>SUM(progress_assignment_fd68e454_ba45_4b85_8205_f3bf777ded24__23[APPROVED BY Pengawas])</f>
        <v>508482</v>
      </c>
      <c r="D16" s="5">
        <f>SUM(progress_assignment_fd68e454_ba45_4b85_8205_f3bf777ded24__23[SUBMITTED BY Pencacah])</f>
        <v>163822</v>
      </c>
      <c r="E16" s="5">
        <f>SUM(progress_assignment_fd68e454_ba45_4b85_8205_f3bf777ded24__23[DRAFT])</f>
        <v>40148</v>
      </c>
      <c r="F16" s="5">
        <f>SUM(progress_assignment_fd68e454_ba45_4b85_8205_f3bf777ded24__23[REJECTED BY Pengawas])</f>
        <v>25928</v>
      </c>
      <c r="G16" s="5">
        <f>SUM(progress_assignment_fd68e454_ba45_4b85_8205_f3bf777ded24__23[COMPLETED BY Admin Kabupaten])</f>
        <v>6529</v>
      </c>
      <c r="H16" s="5">
        <f>SUM(progress_assignment_fd68e454_ba45_4b85_8205_f3bf777ded24__23[EDITED BY Admin Kabupaten])</f>
        <v>5071</v>
      </c>
      <c r="I16" s="5">
        <f>SUM(progress_assignment_fd68e454_ba45_4b85_8205_f3bf777ded24__23[REVOKED BY Pengawas])</f>
        <v>1782</v>
      </c>
      <c r="J16" s="5">
        <f>SUM(progress_assignment_fd68e454_ba45_4b85_8205_f3bf777ded24__23[SUBMITTED RESPONDENT])</f>
        <v>283</v>
      </c>
      <c r="K16" s="5">
        <f>SUM(progress_assignment_fd68e454_ba45_4b85_8205_f3bf777ded24__23[REVOKED BY Admin Kabupaten])</f>
        <v>6</v>
      </c>
      <c r="L16" s="5">
        <f>SUM(progress_assignment_fd68e454_ba45_4b85_8205_f3bf777ded24__23[REJECTED BY Admin Kabupaten])</f>
        <v>198</v>
      </c>
      <c r="M16" s="5">
        <f>SUM(progress_assignment_fd68e454_ba45_4b85_8205_f3bf777ded24__23[EDITED BY Pengawas])</f>
        <v>10</v>
      </c>
      <c r="N16" s="5">
        <f>SUM(progress_assignment_fd68e454_ba45_4b85_8205_f3bf777ded24__23[Total])</f>
        <v>1328374</v>
      </c>
      <c r="O16" s="5">
        <f>SUM(progress_assignment_fd68e454_ba45_4b85_8205_f3bf777ded24__23[Not Draft + Open])</f>
        <v>712111</v>
      </c>
      <c r="P16" s="6">
        <f>O16/N16*100</f>
        <v>53.607718910487556</v>
      </c>
      <c r="Q16" s="7">
        <f>P16-'23 Juli'!P16</f>
        <v>0.82601311167152147</v>
      </c>
      <c r="R16" s="5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7F58-2B41-40D7-9931-07352932865F}">
  <dimension ref="A1:R16"/>
  <sheetViews>
    <sheetView workbookViewId="0">
      <selection activeCell="T23" sqref="T23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32.44140625" hidden="1" customWidth="1"/>
    <col min="8" max="8" width="27.88671875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t="s">
        <v>14</v>
      </c>
      <c r="Q1" t="s">
        <v>16</v>
      </c>
      <c r="R1" t="s">
        <v>17</v>
      </c>
    </row>
    <row r="2" spans="1:18" x14ac:dyDescent="0.3">
      <c r="A2">
        <v>7201</v>
      </c>
      <c r="B2">
        <v>18770</v>
      </c>
      <c r="C2">
        <v>19130</v>
      </c>
      <c r="D2">
        <v>9780</v>
      </c>
      <c r="E2">
        <v>2110</v>
      </c>
      <c r="F2">
        <v>1170</v>
      </c>
      <c r="G2">
        <v>4</v>
      </c>
      <c r="H2">
        <v>211</v>
      </c>
      <c r="I2">
        <v>100</v>
      </c>
      <c r="J2">
        <v>90</v>
      </c>
      <c r="M2">
        <v>1</v>
      </c>
      <c r="N2">
        <f>SUM(progress_assignment_fd68e454_ba45_4b85_8205_f3bf777ded24__24[[#This Row],[OPEN]:[EDITED BY Pengawas]])</f>
        <v>51366</v>
      </c>
      <c r="O2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30486</v>
      </c>
      <c r="P2" s="2">
        <f>progress_assignment_fd68e454_ba45_4b85_8205_f3bf777ded24__24[[#This Row],[Not Draft + Open]]/progress_assignment_fd68e454_ba45_4b85_8205_f3bf777ded24__24[[#This Row],[Total]]*100</f>
        <v>59.350543160845689</v>
      </c>
      <c r="Q2" s="4">
        <f>progress_assignment_fd68e454_ba45_4b85_8205_f3bf777ded24__24[[#This Row],[Persentase]]-progress_assignment_fd68e454_ba45_4b85_8205_f3bf777ded24__23[[#This Row],[Persentase]]</f>
        <v>0.87331837765950127</v>
      </c>
      <c r="R2">
        <f>RANK(progress_assignment_fd68e454_ba45_4b85_8205_f3bf777ded24__24[[#This Row],[Persentase]],progress_assignment_fd68e454_ba45_4b85_8205_f3bf777ded24__24[Persentase])</f>
        <v>3</v>
      </c>
    </row>
    <row r="3" spans="1:18" x14ac:dyDescent="0.3">
      <c r="A3">
        <v>7202</v>
      </c>
      <c r="B3">
        <v>67080</v>
      </c>
      <c r="C3">
        <v>43938</v>
      </c>
      <c r="D3">
        <v>41297</v>
      </c>
      <c r="E3">
        <v>5049</v>
      </c>
      <c r="F3">
        <v>5021</v>
      </c>
      <c r="G3">
        <v>14</v>
      </c>
      <c r="H3">
        <v>88</v>
      </c>
      <c r="I3">
        <v>209</v>
      </c>
      <c r="J3">
        <v>4</v>
      </c>
      <c r="M3">
        <v>1</v>
      </c>
      <c r="N3">
        <f>SUM(progress_assignment_fd68e454_ba45_4b85_8205_f3bf777ded24__24[[#This Row],[OPEN]:[EDITED BY Pengawas]])</f>
        <v>162701</v>
      </c>
      <c r="O3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90572</v>
      </c>
      <c r="P3" s="2">
        <f>progress_assignment_fd68e454_ba45_4b85_8205_f3bf777ded24__24[[#This Row],[Not Draft + Open]]/progress_assignment_fd68e454_ba45_4b85_8205_f3bf777ded24__24[[#This Row],[Total]]*100</f>
        <v>55.667758649301483</v>
      </c>
      <c r="Q3" s="4">
        <f>progress_assignment_fd68e454_ba45_4b85_8205_f3bf777ded24__24[[#This Row],[Persentase]]-progress_assignment_fd68e454_ba45_4b85_8205_f3bf777ded24__23[[#This Row],[Persentase]]</f>
        <v>0.83732491242984253</v>
      </c>
      <c r="R3">
        <f>RANK(progress_assignment_fd68e454_ba45_4b85_8205_f3bf777ded24__24[[#This Row],[Persentase]],progress_assignment_fd68e454_ba45_4b85_8205_f3bf777ded24__24[Persentase])</f>
        <v>7</v>
      </c>
    </row>
    <row r="4" spans="1:18" x14ac:dyDescent="0.3">
      <c r="A4">
        <v>7203</v>
      </c>
      <c r="B4">
        <v>30200</v>
      </c>
      <c r="C4">
        <v>19715</v>
      </c>
      <c r="D4">
        <v>10768</v>
      </c>
      <c r="E4">
        <v>2694</v>
      </c>
      <c r="F4">
        <v>595</v>
      </c>
      <c r="G4">
        <v>82</v>
      </c>
      <c r="H4">
        <v>50</v>
      </c>
      <c r="I4">
        <v>34</v>
      </c>
      <c r="L4">
        <v>6</v>
      </c>
      <c r="N4">
        <f>SUM(progress_assignment_fd68e454_ba45_4b85_8205_f3bf777ded24__24[[#This Row],[OPEN]:[EDITED BY Pengawas]])</f>
        <v>64144</v>
      </c>
      <c r="O4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31250</v>
      </c>
      <c r="P4" s="2">
        <f>progress_assignment_fd68e454_ba45_4b85_8205_f3bf777ded24__24[[#This Row],[Not Draft + Open]]/progress_assignment_fd68e454_ba45_4b85_8205_f3bf777ded24__24[[#This Row],[Total]]*100</f>
        <v>48.718508356198555</v>
      </c>
      <c r="Q4" s="4">
        <f>progress_assignment_fd68e454_ba45_4b85_8205_f3bf777ded24__24[[#This Row],[Persentase]]-progress_assignment_fd68e454_ba45_4b85_8205_f3bf777ded24__23[[#This Row],[Persentase]]</f>
        <v>0.83078729919756711</v>
      </c>
      <c r="R4">
        <f>RANK(progress_assignment_fd68e454_ba45_4b85_8205_f3bf777ded24__24[[#This Row],[Persentase]],progress_assignment_fd68e454_ba45_4b85_8205_f3bf777ded24__24[Persentase])</f>
        <v>12</v>
      </c>
    </row>
    <row r="5" spans="1:18" x14ac:dyDescent="0.3">
      <c r="A5">
        <v>7204</v>
      </c>
      <c r="B5">
        <v>48632</v>
      </c>
      <c r="C5">
        <v>46302</v>
      </c>
      <c r="D5">
        <v>12882</v>
      </c>
      <c r="E5">
        <v>4315</v>
      </c>
      <c r="F5">
        <v>4221</v>
      </c>
      <c r="G5">
        <v>23</v>
      </c>
      <c r="H5">
        <v>525</v>
      </c>
      <c r="I5">
        <v>235</v>
      </c>
      <c r="J5">
        <v>48</v>
      </c>
      <c r="L5">
        <v>3</v>
      </c>
      <c r="N5">
        <f>SUM(progress_assignment_fd68e454_ba45_4b85_8205_f3bf777ded24__24[[#This Row],[OPEN]:[EDITED BY Pengawas]])</f>
        <v>117186</v>
      </c>
      <c r="O5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64239</v>
      </c>
      <c r="P5" s="2">
        <f>progress_assignment_fd68e454_ba45_4b85_8205_f3bf777ded24__24[[#This Row],[Not Draft + Open]]/progress_assignment_fd68e454_ba45_4b85_8205_f3bf777ded24__24[[#This Row],[Total]]*100</f>
        <v>54.817981670165381</v>
      </c>
      <c r="Q5" s="4">
        <f>progress_assignment_fd68e454_ba45_4b85_8205_f3bf777ded24__24[[#This Row],[Persentase]]-progress_assignment_fd68e454_ba45_4b85_8205_f3bf777ded24__23[[#This Row],[Persentase]]</f>
        <v>0.90048585862914621</v>
      </c>
      <c r="R5">
        <f>RANK(progress_assignment_fd68e454_ba45_4b85_8205_f3bf777ded24__24[[#This Row],[Persentase]],progress_assignment_fd68e454_ba45_4b85_8205_f3bf777ded24__24[Persentase])</f>
        <v>9</v>
      </c>
    </row>
    <row r="6" spans="1:18" x14ac:dyDescent="0.3">
      <c r="A6">
        <v>7205</v>
      </c>
      <c r="B6">
        <v>48882</v>
      </c>
      <c r="C6">
        <v>62411</v>
      </c>
      <c r="D6">
        <v>8112</v>
      </c>
      <c r="E6">
        <v>2672</v>
      </c>
      <c r="F6">
        <v>1175</v>
      </c>
      <c r="G6">
        <v>1095</v>
      </c>
      <c r="H6">
        <v>806</v>
      </c>
      <c r="I6">
        <v>210</v>
      </c>
      <c r="J6">
        <v>5</v>
      </c>
      <c r="L6">
        <v>26</v>
      </c>
      <c r="N6">
        <f>SUM(progress_assignment_fd68e454_ba45_4b85_8205_f3bf777ded24__24[[#This Row],[OPEN]:[EDITED BY Pengawas]])</f>
        <v>125394</v>
      </c>
      <c r="O6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73840</v>
      </c>
      <c r="P6" s="2">
        <f>progress_assignment_fd68e454_ba45_4b85_8205_f3bf777ded24__24[[#This Row],[Not Draft + Open]]/progress_assignment_fd68e454_ba45_4b85_8205_f3bf777ded24__24[[#This Row],[Total]]*100</f>
        <v>58.886390098409812</v>
      </c>
      <c r="Q6" s="4">
        <f>progress_assignment_fd68e454_ba45_4b85_8205_f3bf777ded24__24[[#This Row],[Persentase]]-progress_assignment_fd68e454_ba45_4b85_8205_f3bf777ded24__23[[#This Row],[Persentase]]</f>
        <v>1.0225206121596813</v>
      </c>
      <c r="R6">
        <f>RANK(progress_assignment_fd68e454_ba45_4b85_8205_f3bf777ded24__24[[#This Row],[Persentase]],progress_assignment_fd68e454_ba45_4b85_8205_f3bf777ded24__24[Persentase])</f>
        <v>4</v>
      </c>
    </row>
    <row r="7" spans="1:18" x14ac:dyDescent="0.3">
      <c r="A7">
        <v>7206</v>
      </c>
      <c r="B7">
        <v>38059</v>
      </c>
      <c r="C7">
        <v>43265</v>
      </c>
      <c r="D7">
        <v>6225</v>
      </c>
      <c r="E7">
        <v>2851</v>
      </c>
      <c r="F7">
        <v>655</v>
      </c>
      <c r="H7">
        <v>1027</v>
      </c>
      <c r="I7">
        <v>158</v>
      </c>
      <c r="M7">
        <v>1</v>
      </c>
      <c r="N7">
        <f>SUM(progress_assignment_fd68e454_ba45_4b85_8205_f3bf777ded24__24[[#This Row],[OPEN]:[EDITED BY Pengawas]])</f>
        <v>92241</v>
      </c>
      <c r="O7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51331</v>
      </c>
      <c r="P7" s="2">
        <f>progress_assignment_fd68e454_ba45_4b85_8205_f3bf777ded24__24[[#This Row],[Not Draft + Open]]/progress_assignment_fd68e454_ba45_4b85_8205_f3bf777ded24__24[[#This Row],[Total]]*100</f>
        <v>55.648789583807634</v>
      </c>
      <c r="Q7" s="4">
        <f>progress_assignment_fd68e454_ba45_4b85_8205_f3bf777ded24__24[[#This Row],[Persentase]]-progress_assignment_fd68e454_ba45_4b85_8205_f3bf777ded24__23[[#This Row],[Persentase]]</f>
        <v>0.97955429353139323</v>
      </c>
      <c r="R7">
        <f>RANK(progress_assignment_fd68e454_ba45_4b85_8205_f3bf777ded24__24[[#This Row],[Persentase]],progress_assignment_fd68e454_ba45_4b85_8205_f3bf777ded24__24[Persentase])</f>
        <v>8</v>
      </c>
    </row>
    <row r="8" spans="1:18" x14ac:dyDescent="0.3">
      <c r="A8">
        <v>7207</v>
      </c>
      <c r="B8">
        <v>26451</v>
      </c>
      <c r="C8">
        <v>29830</v>
      </c>
      <c r="D8">
        <v>4226</v>
      </c>
      <c r="E8">
        <v>3552</v>
      </c>
      <c r="F8">
        <v>1168</v>
      </c>
      <c r="G8">
        <v>81</v>
      </c>
      <c r="H8">
        <v>203</v>
      </c>
      <c r="I8">
        <v>85</v>
      </c>
      <c r="J8">
        <v>46</v>
      </c>
      <c r="L8">
        <v>158</v>
      </c>
      <c r="N8">
        <f>SUM(progress_assignment_fd68e454_ba45_4b85_8205_f3bf777ded24__24[[#This Row],[OPEN]:[EDITED BY Pengawas]])</f>
        <v>65800</v>
      </c>
      <c r="O8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35797</v>
      </c>
      <c r="P8" s="2">
        <f>progress_assignment_fd68e454_ba45_4b85_8205_f3bf777ded24__24[[#This Row],[Not Draft + Open]]/progress_assignment_fd68e454_ba45_4b85_8205_f3bf777ded24__24[[#This Row],[Total]]*100</f>
        <v>54.402735562310035</v>
      </c>
      <c r="Q8" s="4">
        <f>progress_assignment_fd68e454_ba45_4b85_8205_f3bf777ded24__24[[#This Row],[Persentase]]-progress_assignment_fd68e454_ba45_4b85_8205_f3bf777ded24__23[[#This Row],[Persentase]]</f>
        <v>0.84001460656213567</v>
      </c>
      <c r="R8">
        <f>RANK(progress_assignment_fd68e454_ba45_4b85_8205_f3bf777ded24__24[[#This Row],[Persentase]],progress_assignment_fd68e454_ba45_4b85_8205_f3bf777ded24__24[Persentase])</f>
        <v>10</v>
      </c>
    </row>
    <row r="9" spans="1:18" x14ac:dyDescent="0.3">
      <c r="A9">
        <v>7208</v>
      </c>
      <c r="B9">
        <v>76615</v>
      </c>
      <c r="C9">
        <v>74349</v>
      </c>
      <c r="D9">
        <v>28828</v>
      </c>
      <c r="E9">
        <v>4735</v>
      </c>
      <c r="F9">
        <v>4612</v>
      </c>
      <c r="G9">
        <v>2066</v>
      </c>
      <c r="H9">
        <v>137</v>
      </c>
      <c r="I9">
        <v>224</v>
      </c>
      <c r="L9">
        <v>14</v>
      </c>
      <c r="M9">
        <v>5</v>
      </c>
      <c r="N9">
        <f>SUM(progress_assignment_fd68e454_ba45_4b85_8205_f3bf777ded24__24[[#This Row],[OPEN]:[EDITED BY Pengawas]])</f>
        <v>191585</v>
      </c>
      <c r="O9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110235</v>
      </c>
      <c r="P9" s="2">
        <f>progress_assignment_fd68e454_ba45_4b85_8205_f3bf777ded24__24[[#This Row],[Not Draft + Open]]/progress_assignment_fd68e454_ba45_4b85_8205_f3bf777ded24__24[[#This Row],[Total]]*100</f>
        <v>57.538429417751914</v>
      </c>
      <c r="Q9" s="4">
        <f>progress_assignment_fd68e454_ba45_4b85_8205_f3bf777ded24__24[[#This Row],[Persentase]]-progress_assignment_fd68e454_ba45_4b85_8205_f3bf777ded24__23[[#This Row],[Persentase]]</f>
        <v>0.91318415941312736</v>
      </c>
      <c r="R9">
        <f>RANK(progress_assignment_fd68e454_ba45_4b85_8205_f3bf777ded24__24[[#This Row],[Persentase]],progress_assignment_fd68e454_ba45_4b85_8205_f3bf777ded24__24[Persentase])</f>
        <v>5</v>
      </c>
    </row>
    <row r="10" spans="1:18" x14ac:dyDescent="0.3">
      <c r="A10">
        <v>7209</v>
      </c>
      <c r="B10">
        <v>25465</v>
      </c>
      <c r="C10">
        <v>28311</v>
      </c>
      <c r="D10">
        <v>7656</v>
      </c>
      <c r="E10">
        <v>1313</v>
      </c>
      <c r="F10">
        <v>3268</v>
      </c>
      <c r="G10">
        <v>578</v>
      </c>
      <c r="H10">
        <v>15</v>
      </c>
      <c r="I10">
        <v>131</v>
      </c>
      <c r="J10">
        <v>8</v>
      </c>
      <c r="M10">
        <v>1</v>
      </c>
      <c r="N10">
        <f>SUM(progress_assignment_fd68e454_ba45_4b85_8205_f3bf777ded24__24[[#This Row],[OPEN]:[EDITED BY Pengawas]])</f>
        <v>66746</v>
      </c>
      <c r="O10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39968</v>
      </c>
      <c r="P10" s="2">
        <f>progress_assignment_fd68e454_ba45_4b85_8205_f3bf777ded24__24[[#This Row],[Not Draft + Open]]/progress_assignment_fd68e454_ba45_4b85_8205_f3bf777ded24__24[[#This Row],[Total]]*100</f>
        <v>59.880741917118627</v>
      </c>
      <c r="Q10" s="4">
        <f>progress_assignment_fd68e454_ba45_4b85_8205_f3bf777ded24__24[[#This Row],[Persentase]]-progress_assignment_fd68e454_ba45_4b85_8205_f3bf777ded24__23[[#This Row],[Persentase]]</f>
        <v>0.97393833818389908</v>
      </c>
      <c r="R10">
        <f>RANK(progress_assignment_fd68e454_ba45_4b85_8205_f3bf777ded24__24[[#This Row],[Persentase]],progress_assignment_fd68e454_ba45_4b85_8205_f3bf777ded24__24[Persentase])</f>
        <v>2</v>
      </c>
    </row>
    <row r="11" spans="1:18" x14ac:dyDescent="0.3">
      <c r="A11">
        <v>7210</v>
      </c>
      <c r="B11">
        <v>50488</v>
      </c>
      <c r="C11">
        <v>54705</v>
      </c>
      <c r="D11">
        <v>9630</v>
      </c>
      <c r="E11">
        <v>2189</v>
      </c>
      <c r="F11">
        <v>1529</v>
      </c>
      <c r="G11">
        <v>137</v>
      </c>
      <c r="H11">
        <v>474</v>
      </c>
      <c r="I11">
        <v>200</v>
      </c>
      <c r="J11">
        <v>8</v>
      </c>
      <c r="L11">
        <v>10</v>
      </c>
      <c r="N11">
        <f>SUM(progress_assignment_fd68e454_ba45_4b85_8205_f3bf777ded24__24[[#This Row],[OPEN]:[EDITED BY Pengawas]])</f>
        <v>119370</v>
      </c>
      <c r="O11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66693</v>
      </c>
      <c r="P11" s="2">
        <f>progress_assignment_fd68e454_ba45_4b85_8205_f3bf777ded24__24[[#This Row],[Not Draft + Open]]/progress_assignment_fd68e454_ba45_4b85_8205_f3bf777ded24__24[[#This Row],[Total]]*100</f>
        <v>55.870821814526259</v>
      </c>
      <c r="Q11" s="4">
        <f>progress_assignment_fd68e454_ba45_4b85_8205_f3bf777ded24__24[[#This Row],[Persentase]]-progress_assignment_fd68e454_ba45_4b85_8205_f3bf777ded24__23[[#This Row],[Persentase]]</f>
        <v>0.99637820992393245</v>
      </c>
      <c r="R11">
        <f>RANK(progress_assignment_fd68e454_ba45_4b85_8205_f3bf777ded24__24[[#This Row],[Persentase]],progress_assignment_fd68e454_ba45_4b85_8205_f3bf777ded24__24[Persentase])</f>
        <v>6</v>
      </c>
    </row>
    <row r="12" spans="1:18" x14ac:dyDescent="0.3">
      <c r="A12">
        <v>7211</v>
      </c>
      <c r="B12">
        <v>11579</v>
      </c>
      <c r="C12">
        <v>17670</v>
      </c>
      <c r="D12">
        <v>1760</v>
      </c>
      <c r="E12">
        <v>383</v>
      </c>
      <c r="F12">
        <v>121</v>
      </c>
      <c r="G12">
        <v>41</v>
      </c>
      <c r="H12">
        <v>79</v>
      </c>
      <c r="I12">
        <v>19</v>
      </c>
      <c r="J12">
        <v>24</v>
      </c>
      <c r="M12">
        <v>1</v>
      </c>
      <c r="N12">
        <f>SUM(progress_assignment_fd68e454_ba45_4b85_8205_f3bf777ded24__24[[#This Row],[OPEN]:[EDITED BY Pengawas]])</f>
        <v>31677</v>
      </c>
      <c r="O12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19715</v>
      </c>
      <c r="P12" s="2">
        <f>progress_assignment_fd68e454_ba45_4b85_8205_f3bf777ded24__24[[#This Row],[Not Draft + Open]]/progress_assignment_fd68e454_ba45_4b85_8205_f3bf777ded24__24[[#This Row],[Total]]*100</f>
        <v>62.237585629952328</v>
      </c>
      <c r="Q12" s="4">
        <f>progress_assignment_fd68e454_ba45_4b85_8205_f3bf777ded24__24[[#This Row],[Persentase]]-progress_assignment_fd68e454_ba45_4b85_8205_f3bf777ded24__23[[#This Row],[Persentase]]</f>
        <v>1.4106582945311175</v>
      </c>
      <c r="R12">
        <f>RANK(progress_assignment_fd68e454_ba45_4b85_8205_f3bf777ded24__24[[#This Row],[Persentase]],progress_assignment_fd68e454_ba45_4b85_8205_f3bf777ded24__24[Persentase])</f>
        <v>1</v>
      </c>
    </row>
    <row r="13" spans="1:18" x14ac:dyDescent="0.3">
      <c r="A13">
        <v>7212</v>
      </c>
      <c r="B13">
        <v>23021</v>
      </c>
      <c r="C13">
        <v>16812</v>
      </c>
      <c r="D13">
        <v>5864</v>
      </c>
      <c r="E13">
        <v>795</v>
      </c>
      <c r="F13">
        <v>1015</v>
      </c>
      <c r="G13">
        <v>35</v>
      </c>
      <c r="H13">
        <v>11</v>
      </c>
      <c r="I13">
        <v>146</v>
      </c>
      <c r="J13">
        <v>1</v>
      </c>
      <c r="N13">
        <f>SUM(progress_assignment_fd68e454_ba45_4b85_8205_f3bf777ded24__24[[#This Row],[OPEN]:[EDITED BY Pengawas]])</f>
        <v>47700</v>
      </c>
      <c r="O13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23884</v>
      </c>
      <c r="P13" s="2">
        <f>progress_assignment_fd68e454_ba45_4b85_8205_f3bf777ded24__24[[#This Row],[Not Draft + Open]]/progress_assignment_fd68e454_ba45_4b85_8205_f3bf777ded24__24[[#This Row],[Total]]*100</f>
        <v>50.071278825995805</v>
      </c>
      <c r="Q13" s="4">
        <f>progress_assignment_fd68e454_ba45_4b85_8205_f3bf777ded24__24[[#This Row],[Persentase]]-progress_assignment_fd68e454_ba45_4b85_8205_f3bf777ded24__23[[#This Row],[Persentase]]</f>
        <v>0.88257816602691008</v>
      </c>
      <c r="R13">
        <f>RANK(progress_assignment_fd68e454_ba45_4b85_8205_f3bf777ded24__24[[#This Row],[Persentase]],progress_assignment_fd68e454_ba45_4b85_8205_f3bf777ded24__24[Persentase])</f>
        <v>11</v>
      </c>
    </row>
    <row r="14" spans="1:18" x14ac:dyDescent="0.3">
      <c r="A14">
        <v>7271</v>
      </c>
      <c r="B14">
        <v>100157</v>
      </c>
      <c r="C14">
        <v>61595</v>
      </c>
      <c r="D14">
        <v>19293</v>
      </c>
      <c r="E14">
        <v>8133</v>
      </c>
      <c r="F14">
        <v>2877</v>
      </c>
      <c r="G14">
        <v>2621</v>
      </c>
      <c r="H14">
        <v>1577</v>
      </c>
      <c r="I14">
        <v>222</v>
      </c>
      <c r="J14">
        <v>50</v>
      </c>
      <c r="K14">
        <v>6</v>
      </c>
      <c r="N14">
        <f>SUM(progress_assignment_fd68e454_ba45_4b85_8205_f3bf777ded24__24[[#This Row],[OPEN]:[EDITED BY Pengawas]])</f>
        <v>196531</v>
      </c>
      <c r="O14">
        <f>progress_assignment_fd68e454_ba45_4b85_8205_f3bf777ded24__24[[#This Row],[EDITED BY Pengawas]]+progress_assignment_fd68e454_ba45_4b85_8205_f3bf777ded24__24[[#This Row],[REJECTED BY Admin Kabupaten]]+progress_assignment_fd68e454_ba45_4b85_8205_f3bf777ded24__24[[#This Row],[REVOKED BY Admin Kabupaten]]+progress_assignment_fd68e454_ba45_4b85_8205_f3bf777ded24__24[[#This Row],[SUBMITTED RESPONDENT]]+progress_assignment_fd68e454_ba45_4b85_8205_f3bf777ded24__24[[#This Row],[REVOKED BY Pengawas]]+progress_assignment_fd68e454_ba45_4b85_8205_f3bf777ded24__24[[#This Row],[EDITED BY Admin Kabupaten]]+progress_assignment_fd68e454_ba45_4b85_8205_f3bf777ded24__24[[#This Row],[COMPLETED BY Admin Kabupaten]]+progress_assignment_fd68e454_ba45_4b85_8205_f3bf777ded24__24[[#This Row],[REJECTED BY Pengawas]]+progress_assignment_fd68e454_ba45_4b85_8205_f3bf777ded24__24[[#This Row],[SUBMITTED BY Pencacah]]+progress_assignment_fd68e454_ba45_4b85_8205_f3bf777ded24__24[[#This Row],[APPROVED BY Pengawas]]</f>
        <v>88241</v>
      </c>
      <c r="P14" s="2">
        <f>progress_assignment_fd68e454_ba45_4b85_8205_f3bf777ded24__24[[#This Row],[Not Draft + Open]]/progress_assignment_fd68e454_ba45_4b85_8205_f3bf777ded24__24[[#This Row],[Total]]*100</f>
        <v>44.899277976502432</v>
      </c>
      <c r="Q14" s="4">
        <f>progress_assignment_fd68e454_ba45_4b85_8205_f3bf777ded24__24[[#This Row],[Persentase]]-progress_assignment_fd68e454_ba45_4b85_8205_f3bf777ded24__23[[#This Row],[Persentase]]</f>
        <v>0.71143724565872191</v>
      </c>
      <c r="R14">
        <f>RANK(progress_assignment_fd68e454_ba45_4b85_8205_f3bf777ded24__24[[#This Row],[Persentase]],progress_assignment_fd68e454_ba45_4b85_8205_f3bf777ded24__24[Persentase])</f>
        <v>13</v>
      </c>
    </row>
    <row r="16" spans="1:18" x14ac:dyDescent="0.3">
      <c r="A16" s="5">
        <v>7200</v>
      </c>
      <c r="B16" s="5">
        <f>SUM(B2:B14)</f>
        <v>565399</v>
      </c>
      <c r="C16" s="5">
        <f t="shared" ref="C16:O16" si="0">SUM(C2:C14)</f>
        <v>518033</v>
      </c>
      <c r="D16" s="5">
        <f t="shared" si="0"/>
        <v>166321</v>
      </c>
      <c r="E16" s="5">
        <f t="shared" si="0"/>
        <v>40791</v>
      </c>
      <c r="F16" s="5">
        <f t="shared" si="0"/>
        <v>27427</v>
      </c>
      <c r="G16" s="5">
        <f t="shared" si="0"/>
        <v>6777</v>
      </c>
      <c r="H16" s="5">
        <f t="shared" si="0"/>
        <v>5203</v>
      </c>
      <c r="I16" s="5">
        <f t="shared" si="0"/>
        <v>1973</v>
      </c>
      <c r="J16" s="5">
        <f t="shared" si="0"/>
        <v>284</v>
      </c>
      <c r="K16" s="5">
        <f t="shared" si="0"/>
        <v>6</v>
      </c>
      <c r="L16" s="5">
        <f t="shared" si="0"/>
        <v>217</v>
      </c>
      <c r="M16" s="5">
        <f t="shared" si="0"/>
        <v>10</v>
      </c>
      <c r="N16" s="5">
        <f t="shared" si="0"/>
        <v>1332441</v>
      </c>
      <c r="O16" s="5">
        <f t="shared" si="0"/>
        <v>726251</v>
      </c>
      <c r="P16" s="6">
        <f>O16/N16*100</f>
        <v>54.505302673814448</v>
      </c>
      <c r="Q16" s="7">
        <f>P16-'24 Juli'!P16</f>
        <v>0.89758376332689238</v>
      </c>
      <c r="R16" s="5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A42B1-2105-4D37-BF76-AB8D7321E13C}">
  <dimension ref="A2:P20"/>
  <sheetViews>
    <sheetView tabSelected="1" workbookViewId="0">
      <selection activeCell="L21" sqref="L21"/>
    </sheetView>
  </sheetViews>
  <sheetFormatPr defaultRowHeight="14.4" x14ac:dyDescent="0.3"/>
  <cols>
    <col min="1" max="1" width="23.33203125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32.44140625" hidden="1" customWidth="1"/>
    <col min="8" max="8" width="27.88671875" hidden="1" customWidth="1"/>
    <col min="9" max="9" width="22.88671875" hidden="1" customWidth="1"/>
    <col min="10" max="10" width="25.44140625" hidden="1" customWidth="1"/>
    <col min="11" max="11" width="30" hidden="1" customWidth="1"/>
  </cols>
  <sheetData>
    <row r="2" spans="1:16" x14ac:dyDescent="0.3">
      <c r="A2" s="9" t="s">
        <v>36</v>
      </c>
      <c r="L2">
        <v>51722</v>
      </c>
      <c r="M2">
        <v>31456</v>
      </c>
      <c r="N2" s="2">
        <f>M2/L2*100</f>
        <v>60.817447121147673</v>
      </c>
      <c r="O2" s="4">
        <f>N2-progress_assignment_fd68e454_ba45_4b85_8205_f3bf777ded24__24[[#This Row],[Persentase]]</f>
        <v>1.466903960301984</v>
      </c>
    </row>
    <row r="3" spans="1:16" x14ac:dyDescent="0.3">
      <c r="A3" s="9" t="s">
        <v>50</v>
      </c>
      <c r="L3">
        <v>163652</v>
      </c>
      <c r="M3">
        <v>93094</v>
      </c>
      <c r="N3" s="2">
        <f t="shared" ref="N3:N15" si="0">M3/L3*100</f>
        <v>56.885342067313573</v>
      </c>
      <c r="O3" s="4">
        <f>N3-progress_assignment_fd68e454_ba45_4b85_8205_f3bf777ded24__24[[#This Row],[Persentase]]</f>
        <v>1.2175834180120901</v>
      </c>
    </row>
    <row r="4" spans="1:16" x14ac:dyDescent="0.3">
      <c r="A4" s="9" t="s">
        <v>75</v>
      </c>
      <c r="L4">
        <v>64828</v>
      </c>
      <c r="M4">
        <v>32580</v>
      </c>
      <c r="N4" s="2">
        <f t="shared" si="0"/>
        <v>50.256062195347681</v>
      </c>
      <c r="O4" s="4">
        <f>N4-progress_assignment_fd68e454_ba45_4b85_8205_f3bf777ded24__24[[#This Row],[Persentase]]</f>
        <v>1.5375538391491261</v>
      </c>
    </row>
    <row r="5" spans="1:16" x14ac:dyDescent="0.3">
      <c r="A5" s="9" t="s">
        <v>86</v>
      </c>
      <c r="L5">
        <v>117561</v>
      </c>
      <c r="M5">
        <v>65692</v>
      </c>
      <c r="N5" s="2">
        <f t="shared" si="0"/>
        <v>55.879075543760258</v>
      </c>
      <c r="O5" s="4">
        <f>N5-progress_assignment_fd68e454_ba45_4b85_8205_f3bf777ded24__24[[#This Row],[Persentase]]</f>
        <v>1.0610938735948778</v>
      </c>
    </row>
    <row r="6" spans="1:16" x14ac:dyDescent="0.3">
      <c r="A6" s="9" t="s">
        <v>106</v>
      </c>
      <c r="L6">
        <v>126134</v>
      </c>
      <c r="M6">
        <v>76284</v>
      </c>
      <c r="N6" s="2">
        <f t="shared" si="0"/>
        <v>60.478538696941357</v>
      </c>
      <c r="O6" s="4">
        <f>N6-progress_assignment_fd68e454_ba45_4b85_8205_f3bf777ded24__24[[#This Row],[Persentase]]</f>
        <v>1.5921485985315442</v>
      </c>
    </row>
    <row r="7" spans="1:16" x14ac:dyDescent="0.3">
      <c r="A7" s="9" t="s">
        <v>123</v>
      </c>
      <c r="L7">
        <v>93005</v>
      </c>
      <c r="M7">
        <v>53052</v>
      </c>
      <c r="N7" s="2">
        <f t="shared" si="0"/>
        <v>57.042094511047793</v>
      </c>
      <c r="O7" s="4">
        <f>N7-progress_assignment_fd68e454_ba45_4b85_8205_f3bf777ded24__24[[#This Row],[Persentase]]</f>
        <v>1.393304927240159</v>
      </c>
    </row>
    <row r="8" spans="1:16" x14ac:dyDescent="0.3">
      <c r="A8" s="9" t="s">
        <v>134</v>
      </c>
      <c r="L8">
        <v>66237</v>
      </c>
      <c r="M8">
        <v>36811</v>
      </c>
      <c r="N8" s="2">
        <f t="shared" si="0"/>
        <v>55.574678804897559</v>
      </c>
      <c r="O8" s="4">
        <f>N8-progress_assignment_fd68e454_ba45_4b85_8205_f3bf777ded24__24[[#This Row],[Persentase]]</f>
        <v>1.171943242587524</v>
      </c>
    </row>
    <row r="9" spans="1:16" x14ac:dyDescent="0.3">
      <c r="A9" s="9" t="s">
        <v>146</v>
      </c>
      <c r="L9">
        <v>192420</v>
      </c>
      <c r="M9">
        <v>112991</v>
      </c>
      <c r="N9" s="2">
        <f t="shared" si="0"/>
        <v>58.721026920278561</v>
      </c>
      <c r="O9" s="4">
        <f>N9-progress_assignment_fd68e454_ba45_4b85_8205_f3bf777ded24__24[[#This Row],[Persentase]]</f>
        <v>1.1825975025266473</v>
      </c>
    </row>
    <row r="10" spans="1:16" x14ac:dyDescent="0.3">
      <c r="A10" s="9" t="s">
        <v>170</v>
      </c>
      <c r="L10">
        <v>67038</v>
      </c>
      <c r="M10">
        <v>41123</v>
      </c>
      <c r="N10" s="2">
        <f t="shared" si="0"/>
        <v>61.342820489871421</v>
      </c>
      <c r="O10" s="4">
        <f>N10-progress_assignment_fd68e454_ba45_4b85_8205_f3bf777ded24__24[[#This Row],[Persentase]]</f>
        <v>1.4620785727527945</v>
      </c>
    </row>
    <row r="11" spans="1:16" x14ac:dyDescent="0.3">
      <c r="A11" s="9" t="s">
        <v>183</v>
      </c>
      <c r="L11">
        <v>119727</v>
      </c>
      <c r="M11">
        <v>67928</v>
      </c>
      <c r="N11" s="2">
        <f t="shared" si="0"/>
        <v>56.735740476250143</v>
      </c>
      <c r="O11" s="4">
        <f>N11-progress_assignment_fd68e454_ba45_4b85_8205_f3bf777ded24__24[[#This Row],[Persentase]]</f>
        <v>0.86491866172388399</v>
      </c>
    </row>
    <row r="12" spans="1:16" x14ac:dyDescent="0.3">
      <c r="A12" s="9" t="s">
        <v>200</v>
      </c>
      <c r="L12">
        <v>31809</v>
      </c>
      <c r="M12">
        <v>20342</v>
      </c>
      <c r="N12" s="2">
        <f t="shared" si="0"/>
        <v>63.950454273947621</v>
      </c>
      <c r="O12" s="4">
        <f>N12-progress_assignment_fd68e454_ba45_4b85_8205_f3bf777ded24__24[[#This Row],[Persentase]]</f>
        <v>1.7128686439952929</v>
      </c>
    </row>
    <row r="13" spans="1:16" x14ac:dyDescent="0.3">
      <c r="A13" s="9" t="s">
        <v>208</v>
      </c>
      <c r="L13">
        <v>47871</v>
      </c>
      <c r="M13">
        <v>24646</v>
      </c>
      <c r="N13" s="2">
        <f t="shared" si="0"/>
        <v>51.484197113074728</v>
      </c>
      <c r="O13" s="4">
        <f>N13-progress_assignment_fd68e454_ba45_4b85_8205_f3bf777ded24__24[[#This Row],[Persentase]]</f>
        <v>1.4129182870789236</v>
      </c>
    </row>
    <row r="14" spans="1:16" x14ac:dyDescent="0.3">
      <c r="A14" s="9" t="s">
        <v>219</v>
      </c>
      <c r="L14">
        <v>197640</v>
      </c>
      <c r="M14">
        <v>90435</v>
      </c>
      <c r="N14" s="2">
        <f t="shared" si="0"/>
        <v>45.757437765634485</v>
      </c>
      <c r="O14" s="4">
        <f>N14-progress_assignment_fd68e454_ba45_4b85_8205_f3bf777ded24__24[[#This Row],[Persentase]]</f>
        <v>0.85815978913205271</v>
      </c>
    </row>
    <row r="15" spans="1:16" x14ac:dyDescent="0.3">
      <c r="L15">
        <v>1339644</v>
      </c>
      <c r="M15">
        <v>746434</v>
      </c>
      <c r="N15" s="2">
        <f t="shared" si="0"/>
        <v>55.718832764525509</v>
      </c>
      <c r="O15" s="4">
        <f>N15-'25 Juli'!P16</f>
        <v>1.2135300907110604</v>
      </c>
    </row>
    <row r="16" spans="1:16" x14ac:dyDescent="0.3">
      <c r="A16" t="s">
        <v>0</v>
      </c>
      <c r="B16" t="s">
        <v>1</v>
      </c>
      <c r="C16" t="s">
        <v>2</v>
      </c>
      <c r="D16" t="s">
        <v>3</v>
      </c>
      <c r="E16" t="s">
        <v>4</v>
      </c>
      <c r="F16" t="s">
        <v>5</v>
      </c>
      <c r="G16" t="s">
        <v>7</v>
      </c>
      <c r="H16" t="s">
        <v>6</v>
      </c>
      <c r="I16" t="s">
        <v>8</v>
      </c>
      <c r="J16" t="s">
        <v>9</v>
      </c>
      <c r="K16" t="s">
        <v>11</v>
      </c>
      <c r="L16" t="s">
        <v>12</v>
      </c>
      <c r="M16" t="s">
        <v>13</v>
      </c>
      <c r="N16" t="s">
        <v>14</v>
      </c>
      <c r="O16" t="s">
        <v>16</v>
      </c>
      <c r="P16" t="s">
        <v>17</v>
      </c>
    </row>
    <row r="17" spans="1:15" x14ac:dyDescent="0.3">
      <c r="A17">
        <v>72</v>
      </c>
      <c r="B17">
        <v>552397</v>
      </c>
      <c r="C17">
        <v>530490</v>
      </c>
      <c r="D17">
        <v>167203</v>
      </c>
      <c r="E17">
        <v>43534</v>
      </c>
      <c r="F17">
        <v>28925</v>
      </c>
      <c r="G17">
        <v>7367</v>
      </c>
      <c r="H17">
        <v>5231</v>
      </c>
      <c r="I17">
        <v>2003</v>
      </c>
      <c r="J17">
        <v>288</v>
      </c>
      <c r="K17">
        <v>166</v>
      </c>
      <c r="L17">
        <f>SUM(progress_assignment_fd68e454_ba45_4b85_8205_f3bf777ded24__26[[#This Row],[OPEN]:[REJECTED BY Admin Kabupaten]])</f>
        <v>1337604</v>
      </c>
      <c r="M17">
        <f>progress_assignment_fd68e454_ba45_4b85_8205_f3bf777ded24__26[[#This Row],[REJECTED BY Admin Kabupaten]]+progress_assignment_fd68e454_ba45_4b85_8205_f3bf777ded24__26[[#This Row],[SUBMITTED RESPONDENT]]+progress_assignment_fd68e454_ba45_4b85_8205_f3bf777ded24__26[[#This Row],[REVOKED BY Pengawas]]+progress_assignment_fd68e454_ba45_4b85_8205_f3bf777ded24__26[[#This Row],[EDITED BY Admin Kabupaten]]+progress_assignment_fd68e454_ba45_4b85_8205_f3bf777ded24__26[[#This Row],[COMPLETED BY Admin Kabupaten]]+progress_assignment_fd68e454_ba45_4b85_8205_f3bf777ded24__26[[#This Row],[REJECTED BY Pengawas]]+progress_assignment_fd68e454_ba45_4b85_8205_f3bf777ded24__26[[#This Row],[SUBMITTED BY Pencacah]]+progress_assignment_fd68e454_ba45_4b85_8205_f3bf777ded24__26[[#This Row],[APPROVED BY Pengawas]]</f>
        <v>741673</v>
      </c>
      <c r="N17" s="2">
        <f>progress_assignment_fd68e454_ba45_4b85_8205_f3bf777ded24__26[[#This Row],[Not Draft + Open]]/progress_assignment_fd68e454_ba45_4b85_8205_f3bf777ded24__26[[#This Row],[Total]]*100</f>
        <v>55.447875454917892</v>
      </c>
      <c r="O17" s="4">
        <f>progress_assignment_fd68e454_ba45_4b85_8205_f3bf777ded24__26[[#This Row],[Persentase]]-'25 Juli'!P16</f>
        <v>0.94257278110344345</v>
      </c>
    </row>
    <row r="20" spans="1:15" x14ac:dyDescent="0.3">
      <c r="L20" t="s">
        <v>239</v>
      </c>
      <c r="M20">
        <f>M15-progress_assignment_fd68e454_ba45_4b85_8205_f3bf777ded24__26[Not Draft + Open]</f>
        <v>4761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967D5-81CE-4BEA-B4E4-85B7EA33CAF5}">
  <dimension ref="A3:N35"/>
  <sheetViews>
    <sheetView workbookViewId="0">
      <selection activeCell="F28" sqref="F28"/>
    </sheetView>
  </sheetViews>
  <sheetFormatPr defaultRowHeight="14.4" x14ac:dyDescent="0.3"/>
  <cols>
    <col min="1" max="1" width="23.33203125" bestFit="1" customWidth="1"/>
    <col min="2" max="2" width="16.6640625" bestFit="1" customWidth="1"/>
    <col min="3" max="3" width="17.44140625" bestFit="1" customWidth="1"/>
    <col min="4" max="4" width="16.44140625" bestFit="1" customWidth="1"/>
    <col min="5" max="5" width="16.77734375" bestFit="1" customWidth="1"/>
    <col min="6" max="6" width="21.109375" bestFit="1" customWidth="1"/>
    <col min="7" max="7" width="19.6640625" bestFit="1" customWidth="1"/>
    <col min="8" max="8" width="20.6640625" bestFit="1" customWidth="1"/>
    <col min="9" max="9" width="25.109375" bestFit="1" customWidth="1"/>
    <col min="10" max="10" width="27.21875" bestFit="1" customWidth="1"/>
  </cols>
  <sheetData>
    <row r="3" spans="1:13" x14ac:dyDescent="0.3">
      <c r="A3" s="8" t="s">
        <v>228</v>
      </c>
      <c r="B3" t="s">
        <v>229</v>
      </c>
      <c r="C3" t="s">
        <v>231</v>
      </c>
      <c r="D3" t="s">
        <v>232</v>
      </c>
      <c r="E3" t="s">
        <v>233</v>
      </c>
      <c r="F3" t="s">
        <v>234</v>
      </c>
      <c r="G3" t="s">
        <v>235</v>
      </c>
      <c r="H3" t="s">
        <v>236</v>
      </c>
      <c r="I3" t="s">
        <v>237</v>
      </c>
      <c r="J3" t="s">
        <v>238</v>
      </c>
    </row>
    <row r="4" spans="1:13" x14ac:dyDescent="0.3">
      <c r="A4" s="9" t="s">
        <v>36</v>
      </c>
      <c r="B4" s="3">
        <v>749.80000000000007</v>
      </c>
      <c r="C4" s="3">
        <v>51722</v>
      </c>
      <c r="D4" s="3">
        <v>2375</v>
      </c>
      <c r="E4" s="3">
        <v>17891</v>
      </c>
      <c r="F4" s="3">
        <v>31456</v>
      </c>
      <c r="G4" s="3">
        <v>1358</v>
      </c>
      <c r="H4" s="3">
        <v>19901</v>
      </c>
      <c r="I4" s="3">
        <v>10107</v>
      </c>
      <c r="J4" s="3">
        <v>90</v>
      </c>
      <c r="L4">
        <f>SUM(F4:J4)</f>
        <v>62912</v>
      </c>
      <c r="M4">
        <f>SUM(D4:J4)</f>
        <v>83178</v>
      </c>
    </row>
    <row r="5" spans="1:13" x14ac:dyDescent="0.3">
      <c r="A5" s="9" t="s">
        <v>50</v>
      </c>
      <c r="B5" s="3">
        <v>1420.25</v>
      </c>
      <c r="C5" s="3">
        <v>163652</v>
      </c>
      <c r="D5" s="3">
        <v>5822</v>
      </c>
      <c r="E5" s="3">
        <v>64736</v>
      </c>
      <c r="F5" s="3">
        <v>93094</v>
      </c>
      <c r="G5" s="3">
        <v>5776</v>
      </c>
      <c r="H5" s="3">
        <v>45132</v>
      </c>
      <c r="I5" s="3">
        <v>42182</v>
      </c>
      <c r="J5" s="3">
        <v>4</v>
      </c>
      <c r="L5">
        <f t="shared" ref="L5:L17" si="0">SUM(F5:J5)</f>
        <v>186188</v>
      </c>
      <c r="M5">
        <f t="shared" ref="M5:M17" si="1">SUM(D5:J5)</f>
        <v>256746</v>
      </c>
    </row>
    <row r="6" spans="1:13" x14ac:dyDescent="0.3">
      <c r="A6" s="9" t="s">
        <v>75</v>
      </c>
      <c r="B6" s="3">
        <v>481.49000000000012</v>
      </c>
      <c r="C6" s="3">
        <v>64828</v>
      </c>
      <c r="D6" s="3">
        <v>2886</v>
      </c>
      <c r="E6" s="3">
        <v>29362</v>
      </c>
      <c r="F6" s="3">
        <v>32580</v>
      </c>
      <c r="G6" s="3">
        <v>604</v>
      </c>
      <c r="H6" s="3">
        <v>20958</v>
      </c>
      <c r="I6" s="3">
        <v>11018</v>
      </c>
      <c r="J6" s="3">
        <v>0</v>
      </c>
      <c r="L6">
        <f t="shared" si="0"/>
        <v>65160</v>
      </c>
      <c r="M6">
        <f t="shared" si="1"/>
        <v>97408</v>
      </c>
    </row>
    <row r="7" spans="1:13" x14ac:dyDescent="0.3">
      <c r="A7" s="9" t="s">
        <v>86</v>
      </c>
      <c r="B7" s="3">
        <v>1105.3899999999999</v>
      </c>
      <c r="C7" s="3">
        <v>117561</v>
      </c>
      <c r="D7" s="3">
        <v>4524</v>
      </c>
      <c r="E7" s="3">
        <v>47345</v>
      </c>
      <c r="F7" s="3">
        <v>65692</v>
      </c>
      <c r="G7" s="3">
        <v>4669</v>
      </c>
      <c r="H7" s="3">
        <v>47415</v>
      </c>
      <c r="I7" s="3">
        <v>13560</v>
      </c>
      <c r="J7" s="3">
        <v>48</v>
      </c>
      <c r="L7">
        <f t="shared" si="0"/>
        <v>131384</v>
      </c>
      <c r="M7">
        <f t="shared" si="1"/>
        <v>183253</v>
      </c>
    </row>
    <row r="8" spans="1:13" x14ac:dyDescent="0.3">
      <c r="A8" s="9" t="s">
        <v>106</v>
      </c>
      <c r="B8" s="3">
        <v>965.23000000000013</v>
      </c>
      <c r="C8" s="3">
        <v>126134</v>
      </c>
      <c r="D8" s="3">
        <v>2822</v>
      </c>
      <c r="E8" s="3">
        <v>47028</v>
      </c>
      <c r="F8" s="3">
        <v>76284</v>
      </c>
      <c r="G8" s="3">
        <v>1396</v>
      </c>
      <c r="H8" s="3">
        <v>64503</v>
      </c>
      <c r="I8" s="3">
        <v>10380</v>
      </c>
      <c r="J8" s="3">
        <v>5</v>
      </c>
      <c r="L8">
        <f t="shared" si="0"/>
        <v>152568</v>
      </c>
      <c r="M8">
        <f t="shared" si="1"/>
        <v>202418</v>
      </c>
    </row>
    <row r="9" spans="1:13" x14ac:dyDescent="0.3">
      <c r="A9" s="9" t="s">
        <v>123</v>
      </c>
      <c r="B9" s="3">
        <v>578.98000000000013</v>
      </c>
      <c r="C9" s="3">
        <v>93005</v>
      </c>
      <c r="D9" s="3">
        <v>3294</v>
      </c>
      <c r="E9" s="3">
        <v>36659</v>
      </c>
      <c r="F9" s="3">
        <v>53052</v>
      </c>
      <c r="G9" s="3">
        <v>955</v>
      </c>
      <c r="H9" s="3">
        <v>44522</v>
      </c>
      <c r="I9" s="3">
        <v>7575</v>
      </c>
      <c r="J9" s="3">
        <v>0</v>
      </c>
      <c r="L9">
        <f t="shared" si="0"/>
        <v>106104</v>
      </c>
      <c r="M9">
        <f t="shared" si="1"/>
        <v>146057</v>
      </c>
    </row>
    <row r="10" spans="1:13" x14ac:dyDescent="0.3">
      <c r="A10" s="9" t="s">
        <v>134</v>
      </c>
      <c r="B10" s="3">
        <v>639.66000000000008</v>
      </c>
      <c r="C10" s="3">
        <v>66237</v>
      </c>
      <c r="D10" s="3">
        <v>4077</v>
      </c>
      <c r="E10" s="3">
        <v>25349</v>
      </c>
      <c r="F10" s="3">
        <v>36811</v>
      </c>
      <c r="G10" s="3">
        <v>1593</v>
      </c>
      <c r="H10" s="3">
        <v>30380</v>
      </c>
      <c r="I10" s="3">
        <v>4792</v>
      </c>
      <c r="J10" s="3">
        <v>46</v>
      </c>
      <c r="L10">
        <f t="shared" si="0"/>
        <v>73622</v>
      </c>
      <c r="M10">
        <f t="shared" si="1"/>
        <v>103048</v>
      </c>
    </row>
    <row r="11" spans="1:13" x14ac:dyDescent="0.3">
      <c r="A11" s="9" t="s">
        <v>146</v>
      </c>
      <c r="B11" s="3">
        <v>1361.9199999999998</v>
      </c>
      <c r="C11" s="3">
        <v>192420</v>
      </c>
      <c r="D11" s="3">
        <v>5505</v>
      </c>
      <c r="E11" s="3">
        <v>73924</v>
      </c>
      <c r="F11" s="3">
        <v>112991</v>
      </c>
      <c r="G11" s="3">
        <v>5231</v>
      </c>
      <c r="H11" s="3">
        <v>76148</v>
      </c>
      <c r="I11" s="3">
        <v>31608</v>
      </c>
      <c r="J11" s="3">
        <v>4</v>
      </c>
      <c r="L11">
        <f t="shared" si="0"/>
        <v>225982</v>
      </c>
      <c r="M11">
        <f t="shared" si="1"/>
        <v>305411</v>
      </c>
    </row>
    <row r="12" spans="1:13" x14ac:dyDescent="0.3">
      <c r="A12" s="9" t="s">
        <v>170</v>
      </c>
      <c r="B12" s="3">
        <v>746.92999999999984</v>
      </c>
      <c r="C12" s="3">
        <v>67038</v>
      </c>
      <c r="D12" s="3">
        <v>1403</v>
      </c>
      <c r="E12" s="3">
        <v>24512</v>
      </c>
      <c r="F12" s="3">
        <v>41123</v>
      </c>
      <c r="G12" s="3">
        <v>3543</v>
      </c>
      <c r="H12" s="3">
        <v>29103</v>
      </c>
      <c r="I12" s="3">
        <v>8469</v>
      </c>
      <c r="J12" s="3">
        <v>8</v>
      </c>
      <c r="L12">
        <f t="shared" si="0"/>
        <v>82246</v>
      </c>
      <c r="M12">
        <f t="shared" si="1"/>
        <v>108161</v>
      </c>
    </row>
    <row r="13" spans="1:13" x14ac:dyDescent="0.3">
      <c r="A13" s="9" t="s">
        <v>183</v>
      </c>
      <c r="B13" s="3">
        <v>1027</v>
      </c>
      <c r="C13" s="3">
        <v>119727</v>
      </c>
      <c r="D13" s="3">
        <v>2308</v>
      </c>
      <c r="E13" s="3">
        <v>49491</v>
      </c>
      <c r="F13" s="3">
        <v>67928</v>
      </c>
      <c r="G13" s="3">
        <v>1790</v>
      </c>
      <c r="H13" s="3">
        <v>55913</v>
      </c>
      <c r="I13" s="3">
        <v>10217</v>
      </c>
      <c r="J13" s="3">
        <v>8</v>
      </c>
      <c r="L13">
        <f t="shared" si="0"/>
        <v>135856</v>
      </c>
      <c r="M13">
        <f t="shared" si="1"/>
        <v>187655</v>
      </c>
    </row>
    <row r="14" spans="1:13" x14ac:dyDescent="0.3">
      <c r="A14" s="9" t="s">
        <v>200</v>
      </c>
      <c r="B14" s="3">
        <v>508.84000000000009</v>
      </c>
      <c r="C14" s="3">
        <v>31809</v>
      </c>
      <c r="D14" s="3">
        <v>436</v>
      </c>
      <c r="E14" s="3">
        <v>11031</v>
      </c>
      <c r="F14" s="3">
        <v>20342</v>
      </c>
      <c r="G14" s="3">
        <v>121</v>
      </c>
      <c r="H14" s="3">
        <v>18091</v>
      </c>
      <c r="I14" s="3">
        <v>2106</v>
      </c>
      <c r="J14" s="3">
        <v>24</v>
      </c>
      <c r="L14">
        <f t="shared" si="0"/>
        <v>40684</v>
      </c>
      <c r="M14">
        <f t="shared" si="1"/>
        <v>52151</v>
      </c>
    </row>
    <row r="15" spans="1:13" x14ac:dyDescent="0.3">
      <c r="A15" s="9" t="s">
        <v>208</v>
      </c>
      <c r="B15" s="3">
        <v>530.02</v>
      </c>
      <c r="C15" s="3">
        <v>47871</v>
      </c>
      <c r="D15" s="3">
        <v>854</v>
      </c>
      <c r="E15" s="3">
        <v>22371</v>
      </c>
      <c r="F15" s="3">
        <v>24646</v>
      </c>
      <c r="G15" s="3">
        <v>1133</v>
      </c>
      <c r="H15" s="3">
        <v>17975</v>
      </c>
      <c r="I15" s="3">
        <v>5537</v>
      </c>
      <c r="J15" s="3">
        <v>1</v>
      </c>
      <c r="L15">
        <f t="shared" si="0"/>
        <v>49292</v>
      </c>
      <c r="M15">
        <f t="shared" si="1"/>
        <v>72517</v>
      </c>
    </row>
    <row r="16" spans="1:13" x14ac:dyDescent="0.3">
      <c r="A16" s="9" t="s">
        <v>219</v>
      </c>
      <c r="B16" s="3">
        <v>419.52</v>
      </c>
      <c r="C16" s="3">
        <v>197640</v>
      </c>
      <c r="D16" s="3">
        <v>8749</v>
      </c>
      <c r="E16" s="3">
        <v>98456</v>
      </c>
      <c r="F16" s="3">
        <v>90435</v>
      </c>
      <c r="G16" s="3">
        <v>3199</v>
      </c>
      <c r="H16" s="3">
        <v>64190</v>
      </c>
      <c r="I16" s="3">
        <v>22996</v>
      </c>
      <c r="J16" s="3">
        <v>50</v>
      </c>
      <c r="L16">
        <f t="shared" si="0"/>
        <v>180870</v>
      </c>
      <c r="M16">
        <f t="shared" si="1"/>
        <v>288075</v>
      </c>
    </row>
    <row r="17" spans="1:14" x14ac:dyDescent="0.3">
      <c r="A17" s="9" t="s">
        <v>230</v>
      </c>
      <c r="B17" s="3">
        <v>10535.030000000002</v>
      </c>
      <c r="C17" s="3">
        <v>1339644</v>
      </c>
      <c r="D17" s="3">
        <v>45055</v>
      </c>
      <c r="E17" s="3">
        <v>548155</v>
      </c>
      <c r="F17" s="3">
        <v>746434</v>
      </c>
      <c r="G17" s="3">
        <v>31368</v>
      </c>
      <c r="H17" s="3">
        <v>534231</v>
      </c>
      <c r="I17" s="3">
        <v>180547</v>
      </c>
      <c r="J17" s="3">
        <v>288</v>
      </c>
      <c r="L17">
        <f t="shared" si="0"/>
        <v>1492868</v>
      </c>
      <c r="M17">
        <f t="shared" si="1"/>
        <v>2086078</v>
      </c>
    </row>
    <row r="22" spans="1:14" x14ac:dyDescent="0.3">
      <c r="C22">
        <v>51722</v>
      </c>
      <c r="D22">
        <v>31456</v>
      </c>
      <c r="E22" s="2">
        <f>D22/C22*100</f>
        <v>60.817447121147673</v>
      </c>
      <c r="L22" t="s">
        <v>12</v>
      </c>
      <c r="M22" t="s">
        <v>13</v>
      </c>
      <c r="N22" t="s">
        <v>14</v>
      </c>
    </row>
    <row r="23" spans="1:14" x14ac:dyDescent="0.3">
      <c r="C23">
        <v>163652</v>
      </c>
      <c r="D23">
        <v>93094</v>
      </c>
      <c r="E23" s="2">
        <f t="shared" ref="E23:E34" si="2">D23/C23*100</f>
        <v>56.885342067313573</v>
      </c>
      <c r="L23">
        <v>1337604</v>
      </c>
      <c r="M23">
        <v>741673</v>
      </c>
      <c r="N23">
        <v>55.447875454917892</v>
      </c>
    </row>
    <row r="24" spans="1:14" x14ac:dyDescent="0.3">
      <c r="C24">
        <v>64828</v>
      </c>
      <c r="D24">
        <v>32580</v>
      </c>
      <c r="E24" s="2">
        <f t="shared" si="2"/>
        <v>50.256062195347681</v>
      </c>
    </row>
    <row r="25" spans="1:14" x14ac:dyDescent="0.3">
      <c r="C25">
        <v>117561</v>
      </c>
      <c r="D25">
        <v>65692</v>
      </c>
      <c r="E25" s="2">
        <f t="shared" si="2"/>
        <v>55.879075543760258</v>
      </c>
    </row>
    <row r="26" spans="1:14" x14ac:dyDescent="0.3">
      <c r="C26">
        <v>126134</v>
      </c>
      <c r="D26">
        <v>76284</v>
      </c>
      <c r="E26" s="2">
        <f t="shared" si="2"/>
        <v>60.478538696941357</v>
      </c>
    </row>
    <row r="27" spans="1:14" x14ac:dyDescent="0.3">
      <c r="C27">
        <v>93005</v>
      </c>
      <c r="D27">
        <v>53052</v>
      </c>
      <c r="E27" s="2">
        <f t="shared" si="2"/>
        <v>57.042094511047793</v>
      </c>
    </row>
    <row r="28" spans="1:14" x14ac:dyDescent="0.3">
      <c r="C28">
        <v>66237</v>
      </c>
      <c r="D28">
        <v>36811</v>
      </c>
      <c r="E28" s="2">
        <f t="shared" si="2"/>
        <v>55.574678804897559</v>
      </c>
    </row>
    <row r="29" spans="1:14" x14ac:dyDescent="0.3">
      <c r="C29">
        <v>192420</v>
      </c>
      <c r="D29">
        <v>112991</v>
      </c>
      <c r="E29" s="2">
        <f t="shared" si="2"/>
        <v>58.721026920278561</v>
      </c>
    </row>
    <row r="30" spans="1:14" x14ac:dyDescent="0.3">
      <c r="C30">
        <v>67038</v>
      </c>
      <c r="D30">
        <v>41123</v>
      </c>
      <c r="E30" s="2">
        <f t="shared" si="2"/>
        <v>61.342820489871421</v>
      </c>
    </row>
    <row r="31" spans="1:14" x14ac:dyDescent="0.3">
      <c r="C31">
        <v>119727</v>
      </c>
      <c r="D31">
        <v>67928</v>
      </c>
      <c r="E31" s="2">
        <f t="shared" si="2"/>
        <v>56.735740476250143</v>
      </c>
    </row>
    <row r="32" spans="1:14" x14ac:dyDescent="0.3">
      <c r="C32">
        <v>31809</v>
      </c>
      <c r="D32">
        <v>20342</v>
      </c>
      <c r="E32" s="2">
        <f t="shared" si="2"/>
        <v>63.950454273947621</v>
      </c>
    </row>
    <row r="33" spans="3:5" x14ac:dyDescent="0.3">
      <c r="C33">
        <v>47871</v>
      </c>
      <c r="D33">
        <v>24646</v>
      </c>
      <c r="E33" s="2">
        <f t="shared" si="2"/>
        <v>51.484197113074728</v>
      </c>
    </row>
    <row r="34" spans="3:5" x14ac:dyDescent="0.3">
      <c r="C34">
        <v>197640</v>
      </c>
      <c r="D34">
        <v>90435</v>
      </c>
      <c r="E34" s="2">
        <f t="shared" si="2"/>
        <v>45.757437765634485</v>
      </c>
    </row>
    <row r="35" spans="3:5" x14ac:dyDescent="0.3">
      <c r="C35">
        <f>SUM(C22:C34)</f>
        <v>1339644</v>
      </c>
      <c r="D35">
        <f>SUM(D22:D34)</f>
        <v>746434</v>
      </c>
      <c r="E35" s="2">
        <f>D35/C35*100</f>
        <v>55.718832764525509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44D28-F515-49E7-A662-F1FF35D6DC01}">
  <dimension ref="A1:O188"/>
  <sheetViews>
    <sheetView topLeftCell="G162" workbookViewId="0">
      <selection sqref="A1:O188"/>
    </sheetView>
  </sheetViews>
  <sheetFormatPr defaultRowHeight="14.4" x14ac:dyDescent="0.3"/>
  <cols>
    <col min="1" max="1" width="23.33203125" bestFit="1" customWidth="1"/>
    <col min="2" max="2" width="26.109375" bestFit="1" customWidth="1"/>
    <col min="3" max="3" width="13" bestFit="1" customWidth="1"/>
    <col min="4" max="4" width="12.109375" bestFit="1" customWidth="1"/>
    <col min="5" max="5" width="12.44140625" bestFit="1" customWidth="1"/>
    <col min="6" max="6" width="16.77734375" bestFit="1" customWidth="1"/>
    <col min="7" max="7" width="15.33203125" bestFit="1" customWidth="1"/>
    <col min="8" max="8" width="16.33203125" bestFit="1" customWidth="1"/>
    <col min="9" max="9" width="20.77734375" bestFit="1" customWidth="1"/>
    <col min="10" max="10" width="22.77734375" bestFit="1" customWidth="1"/>
    <col min="11" max="11" width="12.33203125" bestFit="1" customWidth="1"/>
    <col min="12" max="12" width="18.21875" bestFit="1" customWidth="1"/>
    <col min="13" max="13" width="21.33203125" bestFit="1" customWidth="1"/>
    <col min="14" max="14" width="12.6640625" bestFit="1" customWidth="1"/>
    <col min="15" max="15" width="13.44140625" bestFit="1" customWidth="1"/>
  </cols>
  <sheetData>
    <row r="1" spans="1:15" x14ac:dyDescent="0.3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14</v>
      </c>
      <c r="L1" t="s">
        <v>32</v>
      </c>
      <c r="M1" t="s">
        <v>33</v>
      </c>
      <c r="N1" t="s">
        <v>34</v>
      </c>
      <c r="O1" t="s">
        <v>35</v>
      </c>
    </row>
    <row r="2" spans="1:15" x14ac:dyDescent="0.3">
      <c r="A2" s="3" t="s">
        <v>36</v>
      </c>
      <c r="B2" s="3" t="s">
        <v>37</v>
      </c>
      <c r="C2">
        <v>270</v>
      </c>
      <c r="D2">
        <v>122</v>
      </c>
      <c r="E2">
        <v>96</v>
      </c>
      <c r="F2">
        <v>52</v>
      </c>
      <c r="G2">
        <v>0</v>
      </c>
      <c r="H2">
        <v>0</v>
      </c>
      <c r="I2">
        <v>0</v>
      </c>
      <c r="J2">
        <v>52</v>
      </c>
      <c r="K2">
        <v>19.260000000000002</v>
      </c>
      <c r="L2">
        <v>0</v>
      </c>
      <c r="M2">
        <v>0</v>
      </c>
      <c r="N2">
        <v>129</v>
      </c>
      <c r="O2">
        <v>0</v>
      </c>
    </row>
    <row r="3" spans="1:15" x14ac:dyDescent="0.3">
      <c r="A3" s="3" t="s">
        <v>36</v>
      </c>
      <c r="B3" s="3" t="s">
        <v>38</v>
      </c>
      <c r="C3">
        <v>4735</v>
      </c>
      <c r="D3">
        <v>256</v>
      </c>
      <c r="E3">
        <v>1753</v>
      </c>
      <c r="F3">
        <v>2726</v>
      </c>
      <c r="G3">
        <v>79</v>
      </c>
      <c r="H3">
        <v>1851</v>
      </c>
      <c r="I3">
        <v>792</v>
      </c>
      <c r="J3">
        <v>4</v>
      </c>
      <c r="K3">
        <v>57.57</v>
      </c>
      <c r="L3">
        <v>0</v>
      </c>
      <c r="M3">
        <v>0</v>
      </c>
      <c r="N3">
        <v>341</v>
      </c>
      <c r="O3">
        <v>157</v>
      </c>
    </row>
    <row r="4" spans="1:15" x14ac:dyDescent="0.3">
      <c r="A4" s="3" t="s">
        <v>36</v>
      </c>
      <c r="B4" s="3" t="s">
        <v>39</v>
      </c>
      <c r="C4">
        <v>3537</v>
      </c>
      <c r="D4">
        <v>291</v>
      </c>
      <c r="E4">
        <v>1282</v>
      </c>
      <c r="F4">
        <v>1964</v>
      </c>
      <c r="G4">
        <v>267</v>
      </c>
      <c r="H4">
        <v>1149</v>
      </c>
      <c r="I4">
        <v>547</v>
      </c>
      <c r="J4">
        <v>1</v>
      </c>
      <c r="K4">
        <v>55.53</v>
      </c>
      <c r="L4">
        <v>0</v>
      </c>
      <c r="M4">
        <v>0</v>
      </c>
      <c r="N4">
        <v>200</v>
      </c>
      <c r="O4">
        <v>113</v>
      </c>
    </row>
    <row r="5" spans="1:15" x14ac:dyDescent="0.3">
      <c r="A5" s="3" t="s">
        <v>36</v>
      </c>
      <c r="B5" s="3" t="s">
        <v>40</v>
      </c>
      <c r="C5">
        <v>8575</v>
      </c>
      <c r="D5">
        <v>394</v>
      </c>
      <c r="E5">
        <v>2925</v>
      </c>
      <c r="F5">
        <v>5256</v>
      </c>
      <c r="G5">
        <v>111</v>
      </c>
      <c r="H5">
        <v>3153</v>
      </c>
      <c r="I5">
        <v>1968</v>
      </c>
      <c r="J5">
        <v>24</v>
      </c>
      <c r="K5">
        <v>61.29</v>
      </c>
      <c r="L5">
        <v>0</v>
      </c>
      <c r="M5">
        <v>0</v>
      </c>
      <c r="N5">
        <v>1027</v>
      </c>
      <c r="O5">
        <v>474</v>
      </c>
    </row>
    <row r="6" spans="1:15" x14ac:dyDescent="0.3">
      <c r="A6" s="3" t="s">
        <v>36</v>
      </c>
      <c r="B6" s="3" t="s">
        <v>41</v>
      </c>
      <c r="C6">
        <v>3139</v>
      </c>
      <c r="D6">
        <v>286</v>
      </c>
      <c r="E6">
        <v>1070</v>
      </c>
      <c r="F6">
        <v>1783</v>
      </c>
      <c r="G6">
        <v>195</v>
      </c>
      <c r="H6">
        <v>767</v>
      </c>
      <c r="I6">
        <v>820</v>
      </c>
      <c r="J6">
        <v>1</v>
      </c>
      <c r="K6">
        <v>56.8</v>
      </c>
      <c r="L6">
        <v>0</v>
      </c>
      <c r="M6">
        <v>0</v>
      </c>
      <c r="N6">
        <v>249</v>
      </c>
      <c r="O6">
        <v>119</v>
      </c>
    </row>
    <row r="7" spans="1:15" x14ac:dyDescent="0.3">
      <c r="A7" s="3" t="s">
        <v>36</v>
      </c>
      <c r="B7" s="3" t="s">
        <v>42</v>
      </c>
      <c r="C7">
        <v>3602</v>
      </c>
      <c r="D7">
        <v>117</v>
      </c>
      <c r="E7">
        <v>1160</v>
      </c>
      <c r="F7">
        <v>2325</v>
      </c>
      <c r="G7">
        <v>82</v>
      </c>
      <c r="H7">
        <v>1325</v>
      </c>
      <c r="I7">
        <v>918</v>
      </c>
      <c r="J7">
        <v>0</v>
      </c>
      <c r="K7">
        <v>64.55</v>
      </c>
      <c r="L7">
        <v>0</v>
      </c>
      <c r="M7">
        <v>0</v>
      </c>
      <c r="N7">
        <v>221</v>
      </c>
      <c r="O7">
        <v>101</v>
      </c>
    </row>
    <row r="8" spans="1:15" x14ac:dyDescent="0.3">
      <c r="A8" s="3" t="s">
        <v>36</v>
      </c>
      <c r="B8" s="3" t="s">
        <v>43</v>
      </c>
      <c r="C8">
        <v>4173</v>
      </c>
      <c r="D8">
        <v>32</v>
      </c>
      <c r="E8">
        <v>1517</v>
      </c>
      <c r="F8">
        <v>2624</v>
      </c>
      <c r="G8">
        <v>232</v>
      </c>
      <c r="H8">
        <v>1597</v>
      </c>
      <c r="I8">
        <v>794</v>
      </c>
      <c r="J8">
        <v>1</v>
      </c>
      <c r="K8">
        <v>62.88</v>
      </c>
      <c r="L8">
        <v>0</v>
      </c>
      <c r="M8">
        <v>0</v>
      </c>
      <c r="N8">
        <v>318</v>
      </c>
      <c r="O8">
        <v>225</v>
      </c>
    </row>
    <row r="9" spans="1:15" x14ac:dyDescent="0.3">
      <c r="A9" s="3" t="s">
        <v>36</v>
      </c>
      <c r="B9" s="3" t="s">
        <v>44</v>
      </c>
      <c r="C9">
        <v>4006</v>
      </c>
      <c r="D9">
        <v>40</v>
      </c>
      <c r="E9">
        <v>1076</v>
      </c>
      <c r="F9">
        <v>2890</v>
      </c>
      <c r="G9">
        <v>94</v>
      </c>
      <c r="H9">
        <v>1954</v>
      </c>
      <c r="I9">
        <v>840</v>
      </c>
      <c r="J9">
        <v>2</v>
      </c>
      <c r="K9">
        <v>72.14</v>
      </c>
      <c r="L9">
        <v>0</v>
      </c>
      <c r="M9">
        <v>0</v>
      </c>
      <c r="N9">
        <v>237</v>
      </c>
      <c r="O9">
        <v>229</v>
      </c>
    </row>
    <row r="10" spans="1:15" x14ac:dyDescent="0.3">
      <c r="A10" s="3" t="s">
        <v>36</v>
      </c>
      <c r="B10" s="3" t="s">
        <v>45</v>
      </c>
      <c r="C10">
        <v>4240</v>
      </c>
      <c r="D10">
        <v>186</v>
      </c>
      <c r="E10">
        <v>1045</v>
      </c>
      <c r="F10">
        <v>3009</v>
      </c>
      <c r="G10">
        <v>42</v>
      </c>
      <c r="H10">
        <v>1795</v>
      </c>
      <c r="I10">
        <v>1171</v>
      </c>
      <c r="J10">
        <v>1</v>
      </c>
      <c r="K10">
        <v>70.97</v>
      </c>
      <c r="L10">
        <v>0</v>
      </c>
      <c r="M10">
        <v>0</v>
      </c>
      <c r="N10">
        <v>288</v>
      </c>
      <c r="O10">
        <v>314</v>
      </c>
    </row>
    <row r="11" spans="1:15" x14ac:dyDescent="0.3">
      <c r="A11" s="3" t="s">
        <v>36</v>
      </c>
      <c r="B11" s="3" t="s">
        <v>46</v>
      </c>
      <c r="C11">
        <v>4151</v>
      </c>
      <c r="D11">
        <v>168</v>
      </c>
      <c r="E11">
        <v>1780</v>
      </c>
      <c r="F11">
        <v>2203</v>
      </c>
      <c r="G11">
        <v>46</v>
      </c>
      <c r="H11">
        <v>1697</v>
      </c>
      <c r="I11">
        <v>459</v>
      </c>
      <c r="J11">
        <v>1</v>
      </c>
      <c r="K11">
        <v>53.07</v>
      </c>
      <c r="L11">
        <v>0</v>
      </c>
      <c r="M11">
        <v>0</v>
      </c>
      <c r="N11">
        <v>312</v>
      </c>
      <c r="O11">
        <v>117</v>
      </c>
    </row>
    <row r="12" spans="1:15" x14ac:dyDescent="0.3">
      <c r="A12" s="3" t="s">
        <v>36</v>
      </c>
      <c r="B12" s="3" t="s">
        <v>47</v>
      </c>
      <c r="C12">
        <v>3645</v>
      </c>
      <c r="D12">
        <v>124</v>
      </c>
      <c r="E12">
        <v>1342</v>
      </c>
      <c r="F12">
        <v>2179</v>
      </c>
      <c r="G12">
        <v>38</v>
      </c>
      <c r="H12">
        <v>1835</v>
      </c>
      <c r="I12">
        <v>304</v>
      </c>
      <c r="J12">
        <v>2</v>
      </c>
      <c r="K12">
        <v>59.78</v>
      </c>
      <c r="L12">
        <v>0</v>
      </c>
      <c r="M12">
        <v>0</v>
      </c>
      <c r="N12">
        <v>217</v>
      </c>
      <c r="O12">
        <v>105</v>
      </c>
    </row>
    <row r="13" spans="1:15" x14ac:dyDescent="0.3">
      <c r="A13" s="3" t="s">
        <v>36</v>
      </c>
      <c r="B13" s="3" t="s">
        <v>48</v>
      </c>
      <c r="C13">
        <v>4189</v>
      </c>
      <c r="D13">
        <v>218</v>
      </c>
      <c r="E13">
        <v>1484</v>
      </c>
      <c r="F13">
        <v>2487</v>
      </c>
      <c r="G13">
        <v>120</v>
      </c>
      <c r="H13">
        <v>1184</v>
      </c>
      <c r="I13">
        <v>1182</v>
      </c>
      <c r="J13">
        <v>1</v>
      </c>
      <c r="K13">
        <v>59.37</v>
      </c>
      <c r="L13">
        <v>0</v>
      </c>
      <c r="M13">
        <v>0</v>
      </c>
      <c r="N13">
        <v>295</v>
      </c>
      <c r="O13">
        <v>158</v>
      </c>
    </row>
    <row r="14" spans="1:15" x14ac:dyDescent="0.3">
      <c r="A14" s="3" t="s">
        <v>36</v>
      </c>
      <c r="B14" s="3" t="s">
        <v>49</v>
      </c>
      <c r="C14">
        <v>3460</v>
      </c>
      <c r="D14">
        <v>141</v>
      </c>
      <c r="E14">
        <v>1361</v>
      </c>
      <c r="F14">
        <v>1958</v>
      </c>
      <c r="G14">
        <v>52</v>
      </c>
      <c r="H14">
        <v>1594</v>
      </c>
      <c r="I14">
        <v>312</v>
      </c>
      <c r="J14">
        <v>0</v>
      </c>
      <c r="K14">
        <v>56.59</v>
      </c>
      <c r="L14">
        <v>0</v>
      </c>
      <c r="M14">
        <v>0</v>
      </c>
      <c r="N14">
        <v>254</v>
      </c>
      <c r="O14">
        <v>147</v>
      </c>
    </row>
    <row r="15" spans="1:15" x14ac:dyDescent="0.3">
      <c r="A15" s="3" t="s">
        <v>50</v>
      </c>
      <c r="B15" s="3" t="s">
        <v>37</v>
      </c>
      <c r="C15">
        <v>1</v>
      </c>
      <c r="D15">
        <v>0</v>
      </c>
      <c r="E15">
        <v>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3">
      <c r="A16" s="3" t="s">
        <v>50</v>
      </c>
      <c r="B16" s="3" t="s">
        <v>51</v>
      </c>
      <c r="C16">
        <v>9091</v>
      </c>
      <c r="D16">
        <v>228</v>
      </c>
      <c r="E16">
        <v>3838</v>
      </c>
      <c r="F16">
        <v>5025</v>
      </c>
      <c r="G16">
        <v>229</v>
      </c>
      <c r="H16">
        <v>3661</v>
      </c>
      <c r="I16">
        <v>1134</v>
      </c>
      <c r="J16">
        <v>1</v>
      </c>
      <c r="K16">
        <v>55.27</v>
      </c>
      <c r="L16">
        <v>0</v>
      </c>
      <c r="M16">
        <v>0</v>
      </c>
      <c r="N16">
        <v>261</v>
      </c>
      <c r="O16">
        <v>221</v>
      </c>
    </row>
    <row r="17" spans="1:15" x14ac:dyDescent="0.3">
      <c r="A17" s="3" t="s">
        <v>50</v>
      </c>
      <c r="B17" s="3" t="s">
        <v>52</v>
      </c>
      <c r="C17">
        <v>9902</v>
      </c>
      <c r="D17">
        <v>468</v>
      </c>
      <c r="E17">
        <v>3389</v>
      </c>
      <c r="F17">
        <v>6045</v>
      </c>
      <c r="G17">
        <v>89</v>
      </c>
      <c r="H17">
        <v>4270</v>
      </c>
      <c r="I17">
        <v>1686</v>
      </c>
      <c r="J17">
        <v>0</v>
      </c>
      <c r="K17">
        <v>61.05</v>
      </c>
      <c r="L17">
        <v>0</v>
      </c>
      <c r="M17">
        <v>0</v>
      </c>
      <c r="N17">
        <v>564</v>
      </c>
      <c r="O17">
        <v>208</v>
      </c>
    </row>
    <row r="18" spans="1:15" x14ac:dyDescent="0.3">
      <c r="A18" s="3" t="s">
        <v>50</v>
      </c>
      <c r="B18" s="3" t="s">
        <v>53</v>
      </c>
      <c r="C18">
        <v>8224</v>
      </c>
      <c r="D18">
        <v>394</v>
      </c>
      <c r="E18">
        <v>3311</v>
      </c>
      <c r="F18">
        <v>4519</v>
      </c>
      <c r="G18">
        <v>74</v>
      </c>
      <c r="H18">
        <v>2927</v>
      </c>
      <c r="I18">
        <v>1518</v>
      </c>
      <c r="J18">
        <v>0</v>
      </c>
      <c r="K18">
        <v>54.95</v>
      </c>
      <c r="L18">
        <v>0</v>
      </c>
      <c r="M18">
        <v>0</v>
      </c>
      <c r="N18">
        <v>261</v>
      </c>
      <c r="O18">
        <v>196</v>
      </c>
    </row>
    <row r="19" spans="1:15" x14ac:dyDescent="0.3">
      <c r="A19" s="3" t="s">
        <v>50</v>
      </c>
      <c r="B19" s="3" t="s">
        <v>54</v>
      </c>
      <c r="C19">
        <v>6480</v>
      </c>
      <c r="D19">
        <v>140</v>
      </c>
      <c r="E19">
        <v>2567</v>
      </c>
      <c r="F19">
        <v>3773</v>
      </c>
      <c r="G19">
        <v>92</v>
      </c>
      <c r="H19">
        <v>2798</v>
      </c>
      <c r="I19">
        <v>883</v>
      </c>
      <c r="J19">
        <v>0</v>
      </c>
      <c r="K19">
        <v>58.23</v>
      </c>
      <c r="L19">
        <v>0</v>
      </c>
      <c r="M19">
        <v>0</v>
      </c>
      <c r="N19">
        <v>369</v>
      </c>
      <c r="O19">
        <v>132</v>
      </c>
    </row>
    <row r="20" spans="1:15" x14ac:dyDescent="0.3">
      <c r="A20" s="3" t="s">
        <v>50</v>
      </c>
      <c r="B20" s="3" t="s">
        <v>55</v>
      </c>
      <c r="C20">
        <v>7099</v>
      </c>
      <c r="D20">
        <v>418</v>
      </c>
      <c r="E20">
        <v>3101</v>
      </c>
      <c r="F20">
        <v>3580</v>
      </c>
      <c r="G20">
        <v>46</v>
      </c>
      <c r="H20">
        <v>2915</v>
      </c>
      <c r="I20">
        <v>619</v>
      </c>
      <c r="J20">
        <v>0</v>
      </c>
      <c r="K20">
        <v>50.43</v>
      </c>
      <c r="L20">
        <v>0</v>
      </c>
      <c r="M20">
        <v>0</v>
      </c>
      <c r="N20">
        <v>319</v>
      </c>
      <c r="O20">
        <v>120</v>
      </c>
    </row>
    <row r="21" spans="1:15" x14ac:dyDescent="0.3">
      <c r="A21" s="3" t="s">
        <v>50</v>
      </c>
      <c r="B21" s="3" t="s">
        <v>56</v>
      </c>
      <c r="C21">
        <v>5887</v>
      </c>
      <c r="D21">
        <v>72</v>
      </c>
      <c r="E21">
        <v>2340</v>
      </c>
      <c r="F21">
        <v>3475</v>
      </c>
      <c r="G21">
        <v>266</v>
      </c>
      <c r="H21">
        <v>1454</v>
      </c>
      <c r="I21">
        <v>1755</v>
      </c>
      <c r="J21">
        <v>0</v>
      </c>
      <c r="K21">
        <v>59.03</v>
      </c>
      <c r="L21">
        <v>0</v>
      </c>
      <c r="M21">
        <v>0</v>
      </c>
      <c r="N21">
        <v>220</v>
      </c>
      <c r="O21">
        <v>127</v>
      </c>
    </row>
    <row r="22" spans="1:15" x14ac:dyDescent="0.3">
      <c r="A22" s="3" t="s">
        <v>50</v>
      </c>
      <c r="B22" s="3" t="s">
        <v>57</v>
      </c>
      <c r="C22">
        <v>8285</v>
      </c>
      <c r="D22">
        <v>567</v>
      </c>
      <c r="E22">
        <v>3424</v>
      </c>
      <c r="F22">
        <v>4294</v>
      </c>
      <c r="G22">
        <v>556</v>
      </c>
      <c r="H22">
        <v>988</v>
      </c>
      <c r="I22">
        <v>2750</v>
      </c>
      <c r="J22">
        <v>0</v>
      </c>
      <c r="K22">
        <v>51.83</v>
      </c>
      <c r="L22">
        <v>0</v>
      </c>
      <c r="M22">
        <v>0</v>
      </c>
      <c r="N22">
        <v>406</v>
      </c>
      <c r="O22">
        <v>172</v>
      </c>
    </row>
    <row r="23" spans="1:15" x14ac:dyDescent="0.3">
      <c r="A23" s="3" t="s">
        <v>50</v>
      </c>
      <c r="B23" s="3" t="s">
        <v>58</v>
      </c>
      <c r="C23">
        <v>7564</v>
      </c>
      <c r="D23">
        <v>212</v>
      </c>
      <c r="E23">
        <v>2824</v>
      </c>
      <c r="F23">
        <v>4528</v>
      </c>
      <c r="G23">
        <v>183</v>
      </c>
      <c r="H23">
        <v>653</v>
      </c>
      <c r="I23">
        <v>3692</v>
      </c>
      <c r="J23">
        <v>0</v>
      </c>
      <c r="K23">
        <v>59.86</v>
      </c>
      <c r="L23">
        <v>0</v>
      </c>
      <c r="M23">
        <v>0</v>
      </c>
      <c r="N23">
        <v>166</v>
      </c>
      <c r="O23">
        <v>313</v>
      </c>
    </row>
    <row r="24" spans="1:15" x14ac:dyDescent="0.3">
      <c r="A24" s="3" t="s">
        <v>50</v>
      </c>
      <c r="B24" s="3" t="s">
        <v>59</v>
      </c>
      <c r="C24">
        <v>6571</v>
      </c>
      <c r="D24">
        <v>219</v>
      </c>
      <c r="E24">
        <v>1782</v>
      </c>
      <c r="F24">
        <v>4570</v>
      </c>
      <c r="G24">
        <v>27</v>
      </c>
      <c r="H24">
        <v>1737</v>
      </c>
      <c r="I24">
        <v>2806</v>
      </c>
      <c r="J24">
        <v>0</v>
      </c>
      <c r="K24">
        <v>69.55</v>
      </c>
      <c r="L24">
        <v>0</v>
      </c>
      <c r="M24">
        <v>0</v>
      </c>
      <c r="N24">
        <v>322</v>
      </c>
      <c r="O24">
        <v>164</v>
      </c>
    </row>
    <row r="25" spans="1:15" x14ac:dyDescent="0.3">
      <c r="A25" s="3" t="s">
        <v>50</v>
      </c>
      <c r="B25" s="3" t="s">
        <v>60</v>
      </c>
      <c r="C25">
        <v>4811</v>
      </c>
      <c r="D25">
        <v>189</v>
      </c>
      <c r="E25">
        <v>1385</v>
      </c>
      <c r="F25">
        <v>3237</v>
      </c>
      <c r="G25">
        <v>119</v>
      </c>
      <c r="H25">
        <v>1632</v>
      </c>
      <c r="I25">
        <v>1486</v>
      </c>
      <c r="J25">
        <v>0</v>
      </c>
      <c r="K25">
        <v>67.28</v>
      </c>
      <c r="L25">
        <v>0</v>
      </c>
      <c r="M25">
        <v>0</v>
      </c>
      <c r="N25">
        <v>215</v>
      </c>
      <c r="O25">
        <v>178</v>
      </c>
    </row>
    <row r="26" spans="1:15" x14ac:dyDescent="0.3">
      <c r="A26" s="3" t="s">
        <v>50</v>
      </c>
      <c r="B26" s="3" t="s">
        <v>61</v>
      </c>
      <c r="C26">
        <v>18871</v>
      </c>
      <c r="D26">
        <v>812</v>
      </c>
      <c r="E26">
        <v>8323</v>
      </c>
      <c r="F26">
        <v>9736</v>
      </c>
      <c r="G26">
        <v>687</v>
      </c>
      <c r="H26">
        <v>3326</v>
      </c>
      <c r="I26">
        <v>5721</v>
      </c>
      <c r="J26">
        <v>2</v>
      </c>
      <c r="K26">
        <v>51.59</v>
      </c>
      <c r="L26">
        <v>0</v>
      </c>
      <c r="M26">
        <v>0</v>
      </c>
      <c r="N26">
        <v>863</v>
      </c>
      <c r="O26">
        <v>819</v>
      </c>
    </row>
    <row r="27" spans="1:15" x14ac:dyDescent="0.3">
      <c r="A27" s="3" t="s">
        <v>50</v>
      </c>
      <c r="B27" s="3" t="s">
        <v>62</v>
      </c>
      <c r="C27">
        <v>5292</v>
      </c>
      <c r="D27">
        <v>87</v>
      </c>
      <c r="E27">
        <v>2484</v>
      </c>
      <c r="F27">
        <v>2721</v>
      </c>
      <c r="G27">
        <v>358</v>
      </c>
      <c r="H27">
        <v>1770</v>
      </c>
      <c r="I27">
        <v>593</v>
      </c>
      <c r="J27">
        <v>0</v>
      </c>
      <c r="K27">
        <v>51.42</v>
      </c>
      <c r="L27">
        <v>0</v>
      </c>
      <c r="M27">
        <v>0</v>
      </c>
      <c r="N27">
        <v>260</v>
      </c>
      <c r="O27">
        <v>155</v>
      </c>
    </row>
    <row r="28" spans="1:15" x14ac:dyDescent="0.3">
      <c r="A28" s="3" t="s">
        <v>50</v>
      </c>
      <c r="B28" s="3" t="s">
        <v>63</v>
      </c>
      <c r="C28">
        <v>9842</v>
      </c>
      <c r="D28">
        <v>275</v>
      </c>
      <c r="E28">
        <v>4113</v>
      </c>
      <c r="F28">
        <v>5454</v>
      </c>
      <c r="G28">
        <v>453</v>
      </c>
      <c r="H28">
        <v>2614</v>
      </c>
      <c r="I28">
        <v>2387</v>
      </c>
      <c r="J28">
        <v>0</v>
      </c>
      <c r="K28">
        <v>55.42</v>
      </c>
      <c r="L28">
        <v>0</v>
      </c>
      <c r="M28">
        <v>0</v>
      </c>
      <c r="N28">
        <v>543</v>
      </c>
      <c r="O28">
        <v>292</v>
      </c>
    </row>
    <row r="29" spans="1:15" x14ac:dyDescent="0.3">
      <c r="A29" s="3" t="s">
        <v>50</v>
      </c>
      <c r="B29" s="3" t="s">
        <v>64</v>
      </c>
      <c r="C29">
        <v>14205</v>
      </c>
      <c r="D29">
        <v>767</v>
      </c>
      <c r="E29">
        <v>6681</v>
      </c>
      <c r="F29">
        <v>6757</v>
      </c>
      <c r="G29">
        <v>135</v>
      </c>
      <c r="H29">
        <v>3043</v>
      </c>
      <c r="I29">
        <v>3578</v>
      </c>
      <c r="J29">
        <v>1</v>
      </c>
      <c r="K29">
        <v>47.57</v>
      </c>
      <c r="L29">
        <v>0</v>
      </c>
      <c r="M29">
        <v>0</v>
      </c>
      <c r="N29">
        <v>667</v>
      </c>
      <c r="O29">
        <v>656</v>
      </c>
    </row>
    <row r="30" spans="1:15" x14ac:dyDescent="0.3">
      <c r="A30" s="3" t="s">
        <v>50</v>
      </c>
      <c r="B30" s="3" t="s">
        <v>65</v>
      </c>
      <c r="C30">
        <v>4747</v>
      </c>
      <c r="D30">
        <v>38</v>
      </c>
      <c r="E30">
        <v>1500</v>
      </c>
      <c r="F30">
        <v>3209</v>
      </c>
      <c r="G30">
        <v>247</v>
      </c>
      <c r="H30">
        <v>1108</v>
      </c>
      <c r="I30">
        <v>1854</v>
      </c>
      <c r="J30">
        <v>0</v>
      </c>
      <c r="K30">
        <v>67.599999999999994</v>
      </c>
      <c r="L30">
        <v>0</v>
      </c>
      <c r="M30">
        <v>0</v>
      </c>
      <c r="N30">
        <v>188</v>
      </c>
      <c r="O30">
        <v>66</v>
      </c>
    </row>
    <row r="31" spans="1:15" x14ac:dyDescent="0.3">
      <c r="A31" s="3" t="s">
        <v>50</v>
      </c>
      <c r="B31" s="3" t="s">
        <v>66</v>
      </c>
      <c r="C31">
        <v>9632</v>
      </c>
      <c r="D31">
        <v>252</v>
      </c>
      <c r="E31">
        <v>4319</v>
      </c>
      <c r="F31">
        <v>5061</v>
      </c>
      <c r="G31">
        <v>235</v>
      </c>
      <c r="H31">
        <v>1590</v>
      </c>
      <c r="I31">
        <v>3236</v>
      </c>
      <c r="J31">
        <v>0</v>
      </c>
      <c r="K31">
        <v>52.54</v>
      </c>
      <c r="L31">
        <v>0</v>
      </c>
      <c r="M31">
        <v>0</v>
      </c>
      <c r="N31">
        <v>363</v>
      </c>
      <c r="O31">
        <v>143</v>
      </c>
    </row>
    <row r="32" spans="1:15" x14ac:dyDescent="0.3">
      <c r="A32" s="3" t="s">
        <v>50</v>
      </c>
      <c r="B32" s="3" t="s">
        <v>67</v>
      </c>
      <c r="C32">
        <v>7314</v>
      </c>
      <c r="D32">
        <v>229</v>
      </c>
      <c r="E32">
        <v>2401</v>
      </c>
      <c r="F32">
        <v>4684</v>
      </c>
      <c r="G32">
        <v>432</v>
      </c>
      <c r="H32">
        <v>4086</v>
      </c>
      <c r="I32">
        <v>166</v>
      </c>
      <c r="J32">
        <v>0</v>
      </c>
      <c r="K32">
        <v>64.040000000000006</v>
      </c>
      <c r="L32">
        <v>0</v>
      </c>
      <c r="M32">
        <v>0</v>
      </c>
      <c r="N32">
        <v>428</v>
      </c>
      <c r="O32">
        <v>282</v>
      </c>
    </row>
    <row r="33" spans="1:15" x14ac:dyDescent="0.3">
      <c r="A33" s="3" t="s">
        <v>50</v>
      </c>
      <c r="B33" s="3" t="s">
        <v>68</v>
      </c>
      <c r="C33">
        <v>1619</v>
      </c>
      <c r="D33">
        <v>0</v>
      </c>
      <c r="E33">
        <v>724</v>
      </c>
      <c r="F33">
        <v>895</v>
      </c>
      <c r="G33">
        <v>27</v>
      </c>
      <c r="H33">
        <v>205</v>
      </c>
      <c r="I33">
        <v>663</v>
      </c>
      <c r="J33">
        <v>0</v>
      </c>
      <c r="K33">
        <v>55.28</v>
      </c>
      <c r="L33">
        <v>0</v>
      </c>
      <c r="M33">
        <v>0</v>
      </c>
      <c r="N33">
        <v>45</v>
      </c>
      <c r="O33">
        <v>15</v>
      </c>
    </row>
    <row r="34" spans="1:15" x14ac:dyDescent="0.3">
      <c r="A34" s="3" t="s">
        <v>50</v>
      </c>
      <c r="B34" s="3" t="s">
        <v>69</v>
      </c>
      <c r="C34">
        <v>2620</v>
      </c>
      <c r="D34">
        <v>35</v>
      </c>
      <c r="E34">
        <v>1149</v>
      </c>
      <c r="F34">
        <v>1436</v>
      </c>
      <c r="G34">
        <v>28</v>
      </c>
      <c r="H34">
        <v>918</v>
      </c>
      <c r="I34">
        <v>490</v>
      </c>
      <c r="J34">
        <v>0</v>
      </c>
      <c r="K34">
        <v>54.81</v>
      </c>
      <c r="L34">
        <v>0</v>
      </c>
      <c r="M34">
        <v>0</v>
      </c>
      <c r="N34">
        <v>133</v>
      </c>
      <c r="O34">
        <v>67</v>
      </c>
    </row>
    <row r="35" spans="1:15" x14ac:dyDescent="0.3">
      <c r="A35" s="3" t="s">
        <v>50</v>
      </c>
      <c r="B35" s="3" t="s">
        <v>70</v>
      </c>
      <c r="C35">
        <v>5333</v>
      </c>
      <c r="D35">
        <v>281</v>
      </c>
      <c r="E35">
        <v>2229</v>
      </c>
      <c r="F35">
        <v>2823</v>
      </c>
      <c r="G35">
        <v>423</v>
      </c>
      <c r="H35">
        <v>1222</v>
      </c>
      <c r="I35">
        <v>1178</v>
      </c>
      <c r="J35">
        <v>0</v>
      </c>
      <c r="K35">
        <v>52.93</v>
      </c>
      <c r="L35">
        <v>0</v>
      </c>
      <c r="M35">
        <v>0</v>
      </c>
      <c r="N35">
        <v>210</v>
      </c>
      <c r="O35">
        <v>117</v>
      </c>
    </row>
    <row r="36" spans="1:15" x14ac:dyDescent="0.3">
      <c r="A36" s="3" t="s">
        <v>50</v>
      </c>
      <c r="B36" s="3" t="s">
        <v>71</v>
      </c>
      <c r="C36">
        <v>2927</v>
      </c>
      <c r="D36">
        <v>35</v>
      </c>
      <c r="E36">
        <v>773</v>
      </c>
      <c r="F36">
        <v>2119</v>
      </c>
      <c r="G36">
        <v>319</v>
      </c>
      <c r="H36">
        <v>443</v>
      </c>
      <c r="I36">
        <v>1357</v>
      </c>
      <c r="J36">
        <v>0</v>
      </c>
      <c r="K36">
        <v>72.39</v>
      </c>
      <c r="L36">
        <v>0</v>
      </c>
      <c r="M36">
        <v>0</v>
      </c>
      <c r="N36">
        <v>233</v>
      </c>
      <c r="O36">
        <v>88</v>
      </c>
    </row>
    <row r="37" spans="1:15" x14ac:dyDescent="0.3">
      <c r="A37" s="3" t="s">
        <v>50</v>
      </c>
      <c r="B37" s="3" t="s">
        <v>72</v>
      </c>
      <c r="C37">
        <v>3019</v>
      </c>
      <c r="D37">
        <v>1</v>
      </c>
      <c r="E37">
        <v>565</v>
      </c>
      <c r="F37">
        <v>2453</v>
      </c>
      <c r="G37">
        <v>298</v>
      </c>
      <c r="H37">
        <v>919</v>
      </c>
      <c r="I37">
        <v>1236</v>
      </c>
      <c r="J37">
        <v>0</v>
      </c>
      <c r="K37">
        <v>81.25</v>
      </c>
      <c r="L37">
        <v>0</v>
      </c>
      <c r="M37">
        <v>0</v>
      </c>
      <c r="N37">
        <v>215</v>
      </c>
      <c r="O37">
        <v>92</v>
      </c>
    </row>
    <row r="38" spans="1:15" x14ac:dyDescent="0.3">
      <c r="A38" s="3" t="s">
        <v>50</v>
      </c>
      <c r="B38" s="3" t="s">
        <v>73</v>
      </c>
      <c r="C38">
        <v>2264</v>
      </c>
      <c r="D38">
        <v>103</v>
      </c>
      <c r="E38">
        <v>922</v>
      </c>
      <c r="F38">
        <v>1239</v>
      </c>
      <c r="G38">
        <v>287</v>
      </c>
      <c r="H38">
        <v>389</v>
      </c>
      <c r="I38">
        <v>563</v>
      </c>
      <c r="J38">
        <v>0</v>
      </c>
      <c r="K38">
        <v>54.73</v>
      </c>
      <c r="L38">
        <v>0</v>
      </c>
      <c r="M38">
        <v>0</v>
      </c>
      <c r="N38">
        <v>95</v>
      </c>
      <c r="O38">
        <v>84</v>
      </c>
    </row>
    <row r="39" spans="1:15" x14ac:dyDescent="0.3">
      <c r="A39" s="3" t="s">
        <v>50</v>
      </c>
      <c r="B39" s="3" t="s">
        <v>74</v>
      </c>
      <c r="C39">
        <v>2052</v>
      </c>
      <c r="D39">
        <v>0</v>
      </c>
      <c r="E39">
        <v>591</v>
      </c>
      <c r="F39">
        <v>1461</v>
      </c>
      <c r="G39">
        <v>166</v>
      </c>
      <c r="H39">
        <v>464</v>
      </c>
      <c r="I39">
        <v>831</v>
      </c>
      <c r="J39">
        <v>0</v>
      </c>
      <c r="K39">
        <v>71.2</v>
      </c>
      <c r="L39">
        <v>0</v>
      </c>
      <c r="M39">
        <v>0</v>
      </c>
      <c r="N39">
        <v>146</v>
      </c>
      <c r="O39">
        <v>103</v>
      </c>
    </row>
    <row r="40" spans="1:15" x14ac:dyDescent="0.3">
      <c r="A40" s="3" t="s">
        <v>75</v>
      </c>
      <c r="B40" s="3" t="s">
        <v>76</v>
      </c>
      <c r="C40">
        <v>2441</v>
      </c>
      <c r="D40">
        <v>182</v>
      </c>
      <c r="E40">
        <v>531</v>
      </c>
      <c r="F40">
        <v>1728</v>
      </c>
      <c r="G40">
        <v>44</v>
      </c>
      <c r="H40">
        <v>1665</v>
      </c>
      <c r="I40">
        <v>19</v>
      </c>
      <c r="J40">
        <v>0</v>
      </c>
      <c r="K40">
        <v>70.790000000000006</v>
      </c>
      <c r="L40">
        <v>0</v>
      </c>
      <c r="M40">
        <v>0</v>
      </c>
      <c r="N40">
        <v>35</v>
      </c>
      <c r="O40">
        <v>20</v>
      </c>
    </row>
    <row r="41" spans="1:15" x14ac:dyDescent="0.3">
      <c r="A41" s="3" t="s">
        <v>75</v>
      </c>
      <c r="B41" s="3" t="s">
        <v>77</v>
      </c>
      <c r="C41">
        <v>1266</v>
      </c>
      <c r="D41">
        <v>290</v>
      </c>
      <c r="E41">
        <v>738</v>
      </c>
      <c r="F41">
        <v>238</v>
      </c>
      <c r="G41">
        <v>0</v>
      </c>
      <c r="H41">
        <v>0</v>
      </c>
      <c r="I41">
        <v>238</v>
      </c>
      <c r="J41">
        <v>0</v>
      </c>
      <c r="K41">
        <v>18.8</v>
      </c>
      <c r="L41">
        <v>0</v>
      </c>
      <c r="M41">
        <v>0</v>
      </c>
      <c r="N41">
        <v>87</v>
      </c>
      <c r="O41">
        <v>4</v>
      </c>
    </row>
    <row r="42" spans="1:15" x14ac:dyDescent="0.3">
      <c r="A42" s="3" t="s">
        <v>75</v>
      </c>
      <c r="B42" s="3" t="s">
        <v>78</v>
      </c>
      <c r="C42">
        <v>4163</v>
      </c>
      <c r="D42">
        <v>191</v>
      </c>
      <c r="E42">
        <v>1466</v>
      </c>
      <c r="F42">
        <v>2506</v>
      </c>
      <c r="G42">
        <v>17</v>
      </c>
      <c r="H42">
        <v>2340</v>
      </c>
      <c r="I42">
        <v>149</v>
      </c>
      <c r="J42">
        <v>0</v>
      </c>
      <c r="K42">
        <v>60.2</v>
      </c>
      <c r="L42">
        <v>0</v>
      </c>
      <c r="M42">
        <v>0</v>
      </c>
      <c r="N42">
        <v>274</v>
      </c>
      <c r="O42">
        <v>137</v>
      </c>
    </row>
    <row r="43" spans="1:15" x14ac:dyDescent="0.3">
      <c r="A43" s="3" t="s">
        <v>75</v>
      </c>
      <c r="B43" s="3" t="s">
        <v>79</v>
      </c>
      <c r="C43">
        <v>17846</v>
      </c>
      <c r="D43">
        <v>623</v>
      </c>
      <c r="E43">
        <v>7512</v>
      </c>
      <c r="F43">
        <v>9711</v>
      </c>
      <c r="G43">
        <v>113</v>
      </c>
      <c r="H43">
        <v>6430</v>
      </c>
      <c r="I43">
        <v>3168</v>
      </c>
      <c r="J43">
        <v>0</v>
      </c>
      <c r="K43">
        <v>54.42</v>
      </c>
      <c r="L43">
        <v>0</v>
      </c>
      <c r="M43">
        <v>0</v>
      </c>
      <c r="N43">
        <v>1716</v>
      </c>
      <c r="O43">
        <v>1724</v>
      </c>
    </row>
    <row r="44" spans="1:15" x14ac:dyDescent="0.3">
      <c r="A44" s="3" t="s">
        <v>75</v>
      </c>
      <c r="B44" s="3" t="s">
        <v>80</v>
      </c>
      <c r="C44">
        <v>2329</v>
      </c>
      <c r="D44">
        <v>106</v>
      </c>
      <c r="E44">
        <v>1455</v>
      </c>
      <c r="F44">
        <v>768</v>
      </c>
      <c r="G44">
        <v>7</v>
      </c>
      <c r="H44">
        <v>243</v>
      </c>
      <c r="I44">
        <v>518</v>
      </c>
      <c r="J44">
        <v>0</v>
      </c>
      <c r="K44">
        <v>32.979999999999997</v>
      </c>
      <c r="L44">
        <v>0</v>
      </c>
      <c r="M44">
        <v>0</v>
      </c>
      <c r="N44">
        <v>81</v>
      </c>
      <c r="O44">
        <v>106</v>
      </c>
    </row>
    <row r="45" spans="1:15" x14ac:dyDescent="0.3">
      <c r="A45" s="3" t="s">
        <v>75</v>
      </c>
      <c r="B45" s="3" t="s">
        <v>81</v>
      </c>
      <c r="C45">
        <v>12687</v>
      </c>
      <c r="D45">
        <v>530</v>
      </c>
      <c r="E45">
        <v>6518</v>
      </c>
      <c r="F45">
        <v>5639</v>
      </c>
      <c r="G45">
        <v>112</v>
      </c>
      <c r="H45">
        <v>2220</v>
      </c>
      <c r="I45">
        <v>3307</v>
      </c>
      <c r="J45">
        <v>0</v>
      </c>
      <c r="K45">
        <v>44.45</v>
      </c>
      <c r="L45">
        <v>0</v>
      </c>
      <c r="M45">
        <v>0</v>
      </c>
      <c r="N45">
        <v>853</v>
      </c>
      <c r="O45">
        <v>787</v>
      </c>
    </row>
    <row r="46" spans="1:15" x14ac:dyDescent="0.3">
      <c r="A46" s="3" t="s">
        <v>75</v>
      </c>
      <c r="B46" s="3" t="s">
        <v>82</v>
      </c>
      <c r="C46">
        <v>5089</v>
      </c>
      <c r="D46">
        <v>133</v>
      </c>
      <c r="E46">
        <v>2238</v>
      </c>
      <c r="F46">
        <v>2718</v>
      </c>
      <c r="G46">
        <v>59</v>
      </c>
      <c r="H46">
        <v>1197</v>
      </c>
      <c r="I46">
        <v>1462</v>
      </c>
      <c r="J46">
        <v>0</v>
      </c>
      <c r="K46">
        <v>53.41</v>
      </c>
      <c r="L46">
        <v>0</v>
      </c>
      <c r="M46">
        <v>0</v>
      </c>
      <c r="N46">
        <v>395</v>
      </c>
      <c r="O46">
        <v>85</v>
      </c>
    </row>
    <row r="47" spans="1:15" x14ac:dyDescent="0.3">
      <c r="A47" s="3" t="s">
        <v>75</v>
      </c>
      <c r="B47" s="3" t="s">
        <v>83</v>
      </c>
      <c r="C47">
        <v>6260</v>
      </c>
      <c r="D47">
        <v>259</v>
      </c>
      <c r="E47">
        <v>2712</v>
      </c>
      <c r="F47">
        <v>3289</v>
      </c>
      <c r="G47">
        <v>15</v>
      </c>
      <c r="H47">
        <v>2454</v>
      </c>
      <c r="I47">
        <v>820</v>
      </c>
      <c r="J47">
        <v>0</v>
      </c>
      <c r="K47">
        <v>52.54</v>
      </c>
      <c r="L47">
        <v>0</v>
      </c>
      <c r="M47">
        <v>0</v>
      </c>
      <c r="N47">
        <v>514</v>
      </c>
      <c r="O47">
        <v>293</v>
      </c>
    </row>
    <row r="48" spans="1:15" x14ac:dyDescent="0.3">
      <c r="A48" s="3" t="s">
        <v>75</v>
      </c>
      <c r="B48" s="3" t="s">
        <v>84</v>
      </c>
      <c r="C48">
        <v>5601</v>
      </c>
      <c r="D48">
        <v>294</v>
      </c>
      <c r="E48">
        <v>2671</v>
      </c>
      <c r="F48">
        <v>2636</v>
      </c>
      <c r="G48">
        <v>165</v>
      </c>
      <c r="H48">
        <v>1990</v>
      </c>
      <c r="I48">
        <v>481</v>
      </c>
      <c r="J48">
        <v>0</v>
      </c>
      <c r="K48">
        <v>47.06</v>
      </c>
      <c r="L48">
        <v>0</v>
      </c>
      <c r="M48">
        <v>0</v>
      </c>
      <c r="N48">
        <v>428</v>
      </c>
      <c r="O48">
        <v>381</v>
      </c>
    </row>
    <row r="49" spans="1:15" x14ac:dyDescent="0.3">
      <c r="A49" s="3" t="s">
        <v>75</v>
      </c>
      <c r="B49" s="3" t="s">
        <v>85</v>
      </c>
      <c r="C49">
        <v>7146</v>
      </c>
      <c r="D49">
        <v>278</v>
      </c>
      <c r="E49">
        <v>3521</v>
      </c>
      <c r="F49">
        <v>3347</v>
      </c>
      <c r="G49">
        <v>72</v>
      </c>
      <c r="H49">
        <v>2419</v>
      </c>
      <c r="I49">
        <v>856</v>
      </c>
      <c r="J49">
        <v>0</v>
      </c>
      <c r="K49">
        <v>46.84</v>
      </c>
      <c r="L49">
        <v>0</v>
      </c>
      <c r="M49">
        <v>0</v>
      </c>
      <c r="N49">
        <v>285</v>
      </c>
      <c r="O49">
        <v>182</v>
      </c>
    </row>
    <row r="50" spans="1:15" x14ac:dyDescent="0.3">
      <c r="A50" s="3" t="s">
        <v>86</v>
      </c>
      <c r="B50" s="3" t="s">
        <v>37</v>
      </c>
      <c r="C50">
        <v>167</v>
      </c>
      <c r="D50">
        <v>69</v>
      </c>
      <c r="E50">
        <v>59</v>
      </c>
      <c r="F50">
        <v>39</v>
      </c>
      <c r="G50">
        <v>0</v>
      </c>
      <c r="H50">
        <v>0</v>
      </c>
      <c r="I50">
        <v>0</v>
      </c>
      <c r="J50">
        <v>39</v>
      </c>
      <c r="K50">
        <v>23.35</v>
      </c>
      <c r="L50">
        <v>0</v>
      </c>
      <c r="M50">
        <v>0</v>
      </c>
      <c r="N50">
        <v>101</v>
      </c>
      <c r="O50">
        <v>0</v>
      </c>
    </row>
    <row r="51" spans="1:15" x14ac:dyDescent="0.3">
      <c r="A51" s="3" t="s">
        <v>86</v>
      </c>
      <c r="B51" s="3" t="s">
        <v>87</v>
      </c>
      <c r="C51">
        <v>9972</v>
      </c>
      <c r="D51">
        <v>1076</v>
      </c>
      <c r="E51">
        <v>3236</v>
      </c>
      <c r="F51">
        <v>5660</v>
      </c>
      <c r="G51">
        <v>631</v>
      </c>
      <c r="H51">
        <v>4590</v>
      </c>
      <c r="I51">
        <v>438</v>
      </c>
      <c r="J51">
        <v>1</v>
      </c>
      <c r="K51">
        <v>56.76</v>
      </c>
      <c r="L51">
        <v>0</v>
      </c>
      <c r="M51">
        <v>0</v>
      </c>
      <c r="N51">
        <v>340</v>
      </c>
      <c r="O51">
        <v>214</v>
      </c>
    </row>
    <row r="52" spans="1:15" x14ac:dyDescent="0.3">
      <c r="A52" s="3" t="s">
        <v>86</v>
      </c>
      <c r="B52" s="3" t="s">
        <v>88</v>
      </c>
      <c r="C52">
        <v>4297</v>
      </c>
      <c r="D52">
        <v>147</v>
      </c>
      <c r="E52">
        <v>1497</v>
      </c>
      <c r="F52">
        <v>2653</v>
      </c>
      <c r="G52">
        <v>130</v>
      </c>
      <c r="H52">
        <v>2068</v>
      </c>
      <c r="I52">
        <v>454</v>
      </c>
      <c r="J52">
        <v>1</v>
      </c>
      <c r="K52">
        <v>61.74</v>
      </c>
      <c r="L52">
        <v>0</v>
      </c>
      <c r="M52">
        <v>0</v>
      </c>
      <c r="N52">
        <v>134</v>
      </c>
      <c r="O52">
        <v>156</v>
      </c>
    </row>
    <row r="53" spans="1:15" x14ac:dyDescent="0.3">
      <c r="A53" s="3" t="s">
        <v>86</v>
      </c>
      <c r="B53" s="3" t="s">
        <v>89</v>
      </c>
      <c r="C53">
        <v>3439</v>
      </c>
      <c r="D53">
        <v>121</v>
      </c>
      <c r="E53">
        <v>1349</v>
      </c>
      <c r="F53">
        <v>1969</v>
      </c>
      <c r="G53">
        <v>137</v>
      </c>
      <c r="H53">
        <v>1795</v>
      </c>
      <c r="I53">
        <v>36</v>
      </c>
      <c r="J53">
        <v>1</v>
      </c>
      <c r="K53">
        <v>57.26</v>
      </c>
      <c r="L53">
        <v>0</v>
      </c>
      <c r="M53">
        <v>0</v>
      </c>
      <c r="N53">
        <v>111</v>
      </c>
      <c r="O53">
        <v>58</v>
      </c>
    </row>
    <row r="54" spans="1:15" x14ac:dyDescent="0.3">
      <c r="A54" s="3" t="s">
        <v>86</v>
      </c>
      <c r="B54" s="3" t="s">
        <v>90</v>
      </c>
      <c r="C54">
        <v>2705</v>
      </c>
      <c r="D54">
        <v>0</v>
      </c>
      <c r="E54">
        <v>931</v>
      </c>
      <c r="F54">
        <v>1774</v>
      </c>
      <c r="G54">
        <v>97</v>
      </c>
      <c r="H54">
        <v>1544</v>
      </c>
      <c r="I54">
        <v>132</v>
      </c>
      <c r="J54">
        <v>1</v>
      </c>
      <c r="K54">
        <v>65.58</v>
      </c>
      <c r="L54">
        <v>0</v>
      </c>
      <c r="M54">
        <v>0</v>
      </c>
      <c r="N54">
        <v>30</v>
      </c>
      <c r="O54">
        <v>14</v>
      </c>
    </row>
    <row r="55" spans="1:15" x14ac:dyDescent="0.3">
      <c r="A55" s="3" t="s">
        <v>86</v>
      </c>
      <c r="B55" s="3" t="s">
        <v>91</v>
      </c>
      <c r="C55">
        <v>1288</v>
      </c>
      <c r="D55">
        <v>0</v>
      </c>
      <c r="E55">
        <v>409</v>
      </c>
      <c r="F55">
        <v>879</v>
      </c>
      <c r="G55">
        <v>17</v>
      </c>
      <c r="H55">
        <v>804</v>
      </c>
      <c r="I55">
        <v>58</v>
      </c>
      <c r="J55">
        <v>0</v>
      </c>
      <c r="K55">
        <v>68.25</v>
      </c>
      <c r="L55">
        <v>0</v>
      </c>
      <c r="M55">
        <v>0</v>
      </c>
      <c r="N55">
        <v>32</v>
      </c>
      <c r="O55">
        <v>22</v>
      </c>
    </row>
    <row r="56" spans="1:15" x14ac:dyDescent="0.3">
      <c r="A56" s="3" t="s">
        <v>86</v>
      </c>
      <c r="B56" s="3" t="s">
        <v>92</v>
      </c>
      <c r="C56">
        <v>10704</v>
      </c>
      <c r="D56">
        <v>397</v>
      </c>
      <c r="E56">
        <v>4245</v>
      </c>
      <c r="F56">
        <v>6062</v>
      </c>
      <c r="G56">
        <v>333</v>
      </c>
      <c r="H56">
        <v>4439</v>
      </c>
      <c r="I56">
        <v>1290</v>
      </c>
      <c r="J56">
        <v>0</v>
      </c>
      <c r="K56">
        <v>56.63</v>
      </c>
      <c r="L56">
        <v>0</v>
      </c>
      <c r="M56">
        <v>0</v>
      </c>
      <c r="N56">
        <v>414</v>
      </c>
      <c r="O56">
        <v>309</v>
      </c>
    </row>
    <row r="57" spans="1:15" x14ac:dyDescent="0.3">
      <c r="A57" s="3" t="s">
        <v>86</v>
      </c>
      <c r="B57" s="3" t="s">
        <v>93</v>
      </c>
      <c r="C57">
        <v>5606</v>
      </c>
      <c r="D57">
        <v>187</v>
      </c>
      <c r="E57">
        <v>2026</v>
      </c>
      <c r="F57">
        <v>3393</v>
      </c>
      <c r="G57">
        <v>205</v>
      </c>
      <c r="H57">
        <v>1834</v>
      </c>
      <c r="I57">
        <v>1354</v>
      </c>
      <c r="J57">
        <v>0</v>
      </c>
      <c r="K57">
        <v>60.52</v>
      </c>
      <c r="L57">
        <v>0</v>
      </c>
      <c r="M57">
        <v>0</v>
      </c>
      <c r="N57">
        <v>217</v>
      </c>
      <c r="O57">
        <v>171</v>
      </c>
    </row>
    <row r="58" spans="1:15" x14ac:dyDescent="0.3">
      <c r="A58" s="3" t="s">
        <v>86</v>
      </c>
      <c r="B58" s="3" t="s">
        <v>94</v>
      </c>
      <c r="C58">
        <v>6771</v>
      </c>
      <c r="D58">
        <v>13</v>
      </c>
      <c r="E58">
        <v>2710</v>
      </c>
      <c r="F58">
        <v>4048</v>
      </c>
      <c r="G58">
        <v>87</v>
      </c>
      <c r="H58">
        <v>3355</v>
      </c>
      <c r="I58">
        <v>605</v>
      </c>
      <c r="J58">
        <v>1</v>
      </c>
      <c r="K58">
        <v>59.78</v>
      </c>
      <c r="L58">
        <v>0</v>
      </c>
      <c r="M58">
        <v>0</v>
      </c>
      <c r="N58">
        <v>273</v>
      </c>
      <c r="O58">
        <v>176</v>
      </c>
    </row>
    <row r="59" spans="1:15" x14ac:dyDescent="0.3">
      <c r="A59" s="3" t="s">
        <v>86</v>
      </c>
      <c r="B59" s="3" t="s">
        <v>95</v>
      </c>
      <c r="C59">
        <v>6422</v>
      </c>
      <c r="D59">
        <v>94</v>
      </c>
      <c r="E59">
        <v>2671</v>
      </c>
      <c r="F59">
        <v>3657</v>
      </c>
      <c r="G59">
        <v>131</v>
      </c>
      <c r="H59">
        <v>2529</v>
      </c>
      <c r="I59">
        <v>997</v>
      </c>
      <c r="J59">
        <v>0</v>
      </c>
      <c r="K59">
        <v>56.94</v>
      </c>
      <c r="L59">
        <v>0</v>
      </c>
      <c r="M59">
        <v>0</v>
      </c>
      <c r="N59">
        <v>296</v>
      </c>
      <c r="O59">
        <v>405</v>
      </c>
    </row>
    <row r="60" spans="1:15" x14ac:dyDescent="0.3">
      <c r="A60" s="3" t="s">
        <v>86</v>
      </c>
      <c r="B60" s="3" t="s">
        <v>96</v>
      </c>
      <c r="C60">
        <v>2129</v>
      </c>
      <c r="D60">
        <v>48</v>
      </c>
      <c r="E60">
        <v>994</v>
      </c>
      <c r="F60">
        <v>1087</v>
      </c>
      <c r="G60">
        <v>17</v>
      </c>
      <c r="H60">
        <v>823</v>
      </c>
      <c r="I60">
        <v>246</v>
      </c>
      <c r="J60">
        <v>1</v>
      </c>
      <c r="K60">
        <v>51.06</v>
      </c>
      <c r="L60">
        <v>0</v>
      </c>
      <c r="M60">
        <v>0</v>
      </c>
      <c r="N60">
        <v>65</v>
      </c>
      <c r="O60">
        <v>23</v>
      </c>
    </row>
    <row r="61" spans="1:15" x14ac:dyDescent="0.3">
      <c r="A61" s="3" t="s">
        <v>86</v>
      </c>
      <c r="B61" s="3" t="s">
        <v>97</v>
      </c>
      <c r="C61">
        <v>2682</v>
      </c>
      <c r="D61">
        <v>27</v>
      </c>
      <c r="E61">
        <v>1347</v>
      </c>
      <c r="F61">
        <v>1308</v>
      </c>
      <c r="G61">
        <v>53</v>
      </c>
      <c r="H61">
        <v>1211</v>
      </c>
      <c r="I61">
        <v>44</v>
      </c>
      <c r="J61">
        <v>0</v>
      </c>
      <c r="K61">
        <v>48.77</v>
      </c>
      <c r="L61">
        <v>0</v>
      </c>
      <c r="M61">
        <v>0</v>
      </c>
      <c r="N61">
        <v>110</v>
      </c>
      <c r="O61">
        <v>58</v>
      </c>
    </row>
    <row r="62" spans="1:15" x14ac:dyDescent="0.3">
      <c r="A62" s="3" t="s">
        <v>86</v>
      </c>
      <c r="B62" s="3" t="s">
        <v>98</v>
      </c>
      <c r="C62">
        <v>1727</v>
      </c>
      <c r="D62">
        <v>0</v>
      </c>
      <c r="E62">
        <v>676</v>
      </c>
      <c r="F62">
        <v>1051</v>
      </c>
      <c r="G62">
        <v>25</v>
      </c>
      <c r="H62">
        <v>708</v>
      </c>
      <c r="I62">
        <v>318</v>
      </c>
      <c r="J62">
        <v>0</v>
      </c>
      <c r="K62">
        <v>60.86</v>
      </c>
      <c r="L62">
        <v>0</v>
      </c>
      <c r="M62">
        <v>0</v>
      </c>
      <c r="N62">
        <v>35</v>
      </c>
      <c r="O62">
        <v>52</v>
      </c>
    </row>
    <row r="63" spans="1:15" x14ac:dyDescent="0.3">
      <c r="A63" s="3" t="s">
        <v>86</v>
      </c>
      <c r="B63" s="3" t="s">
        <v>99</v>
      </c>
      <c r="C63">
        <v>11462</v>
      </c>
      <c r="D63">
        <v>1158</v>
      </c>
      <c r="E63">
        <v>4557</v>
      </c>
      <c r="F63">
        <v>5747</v>
      </c>
      <c r="G63">
        <v>680</v>
      </c>
      <c r="H63">
        <v>3495</v>
      </c>
      <c r="I63">
        <v>1572</v>
      </c>
      <c r="J63">
        <v>0</v>
      </c>
      <c r="K63">
        <v>50.14</v>
      </c>
      <c r="L63">
        <v>0</v>
      </c>
      <c r="M63">
        <v>0</v>
      </c>
      <c r="N63">
        <v>358</v>
      </c>
      <c r="O63">
        <v>335</v>
      </c>
    </row>
    <row r="64" spans="1:15" x14ac:dyDescent="0.3">
      <c r="A64" s="3" t="s">
        <v>86</v>
      </c>
      <c r="B64" s="3" t="s">
        <v>100</v>
      </c>
      <c r="C64">
        <v>4479</v>
      </c>
      <c r="D64">
        <v>14</v>
      </c>
      <c r="E64">
        <v>2235</v>
      </c>
      <c r="F64">
        <v>2230</v>
      </c>
      <c r="G64">
        <v>38</v>
      </c>
      <c r="H64">
        <v>2127</v>
      </c>
      <c r="I64">
        <v>65</v>
      </c>
      <c r="J64">
        <v>0</v>
      </c>
      <c r="K64">
        <v>49.79</v>
      </c>
      <c r="L64">
        <v>0</v>
      </c>
      <c r="M64">
        <v>0</v>
      </c>
      <c r="N64">
        <v>134</v>
      </c>
      <c r="O64">
        <v>122</v>
      </c>
    </row>
    <row r="65" spans="1:15" x14ac:dyDescent="0.3">
      <c r="A65" s="3" t="s">
        <v>86</v>
      </c>
      <c r="B65" s="3" t="s">
        <v>101</v>
      </c>
      <c r="C65">
        <v>7252</v>
      </c>
      <c r="D65">
        <v>331</v>
      </c>
      <c r="E65">
        <v>2517</v>
      </c>
      <c r="F65">
        <v>4404</v>
      </c>
      <c r="G65">
        <v>94</v>
      </c>
      <c r="H65">
        <v>3173</v>
      </c>
      <c r="I65">
        <v>1137</v>
      </c>
      <c r="J65">
        <v>0</v>
      </c>
      <c r="K65">
        <v>60.73</v>
      </c>
      <c r="L65">
        <v>0</v>
      </c>
      <c r="M65">
        <v>0</v>
      </c>
      <c r="N65">
        <v>254</v>
      </c>
      <c r="O65">
        <v>142</v>
      </c>
    </row>
    <row r="66" spans="1:15" x14ac:dyDescent="0.3">
      <c r="A66" s="3" t="s">
        <v>86</v>
      </c>
      <c r="B66" s="3" t="s">
        <v>102</v>
      </c>
      <c r="C66">
        <v>9482</v>
      </c>
      <c r="D66">
        <v>204</v>
      </c>
      <c r="E66">
        <v>3862</v>
      </c>
      <c r="F66">
        <v>5416</v>
      </c>
      <c r="G66">
        <v>936</v>
      </c>
      <c r="H66">
        <v>3214</v>
      </c>
      <c r="I66">
        <v>1265</v>
      </c>
      <c r="J66">
        <v>1</v>
      </c>
      <c r="K66">
        <v>57.12</v>
      </c>
      <c r="L66">
        <v>0</v>
      </c>
      <c r="M66">
        <v>0</v>
      </c>
      <c r="N66">
        <v>259</v>
      </c>
      <c r="O66">
        <v>281</v>
      </c>
    </row>
    <row r="67" spans="1:15" x14ac:dyDescent="0.3">
      <c r="A67" s="3" t="s">
        <v>86</v>
      </c>
      <c r="B67" s="3" t="s">
        <v>103</v>
      </c>
      <c r="C67">
        <v>12245</v>
      </c>
      <c r="D67">
        <v>323</v>
      </c>
      <c r="E67">
        <v>5524</v>
      </c>
      <c r="F67">
        <v>6398</v>
      </c>
      <c r="G67">
        <v>470</v>
      </c>
      <c r="H67">
        <v>4634</v>
      </c>
      <c r="I67">
        <v>1294</v>
      </c>
      <c r="J67">
        <v>0</v>
      </c>
      <c r="K67">
        <v>52.25</v>
      </c>
      <c r="L67">
        <v>0</v>
      </c>
      <c r="M67">
        <v>0</v>
      </c>
      <c r="N67">
        <v>400</v>
      </c>
      <c r="O67">
        <v>270</v>
      </c>
    </row>
    <row r="68" spans="1:15" x14ac:dyDescent="0.3">
      <c r="A68" s="3" t="s">
        <v>86</v>
      </c>
      <c r="B68" s="3" t="s">
        <v>104</v>
      </c>
      <c r="C68">
        <v>8035</v>
      </c>
      <c r="D68">
        <v>133</v>
      </c>
      <c r="E68">
        <v>3735</v>
      </c>
      <c r="F68">
        <v>4167</v>
      </c>
      <c r="G68">
        <v>450</v>
      </c>
      <c r="H68">
        <v>2821</v>
      </c>
      <c r="I68">
        <v>894</v>
      </c>
      <c r="J68">
        <v>2</v>
      </c>
      <c r="K68">
        <v>51.86</v>
      </c>
      <c r="L68">
        <v>0</v>
      </c>
      <c r="M68">
        <v>0</v>
      </c>
      <c r="N68">
        <v>312</v>
      </c>
      <c r="O68">
        <v>218</v>
      </c>
    </row>
    <row r="69" spans="1:15" x14ac:dyDescent="0.3">
      <c r="A69" s="3" t="s">
        <v>86</v>
      </c>
      <c r="B69" s="3" t="s">
        <v>105</v>
      </c>
      <c r="C69">
        <v>6697</v>
      </c>
      <c r="D69">
        <v>182</v>
      </c>
      <c r="E69">
        <v>2765</v>
      </c>
      <c r="F69">
        <v>3750</v>
      </c>
      <c r="G69">
        <v>138</v>
      </c>
      <c r="H69">
        <v>2251</v>
      </c>
      <c r="I69">
        <v>1361</v>
      </c>
      <c r="J69">
        <v>0</v>
      </c>
      <c r="K69">
        <v>56</v>
      </c>
      <c r="L69">
        <v>0</v>
      </c>
      <c r="M69">
        <v>0</v>
      </c>
      <c r="N69">
        <v>207</v>
      </c>
      <c r="O69">
        <v>306</v>
      </c>
    </row>
    <row r="70" spans="1:15" x14ac:dyDescent="0.3">
      <c r="A70" s="3" t="s">
        <v>106</v>
      </c>
      <c r="B70" s="3" t="s">
        <v>107</v>
      </c>
      <c r="C70">
        <v>9026</v>
      </c>
      <c r="D70">
        <v>445</v>
      </c>
      <c r="E70">
        <v>3195</v>
      </c>
      <c r="F70">
        <v>5386</v>
      </c>
      <c r="G70">
        <v>84</v>
      </c>
      <c r="H70">
        <v>5090</v>
      </c>
      <c r="I70">
        <v>212</v>
      </c>
      <c r="J70">
        <v>0</v>
      </c>
      <c r="K70">
        <v>59.67</v>
      </c>
      <c r="L70">
        <v>0</v>
      </c>
      <c r="M70">
        <v>0</v>
      </c>
      <c r="N70">
        <v>529</v>
      </c>
      <c r="O70">
        <v>406</v>
      </c>
    </row>
    <row r="71" spans="1:15" x14ac:dyDescent="0.3">
      <c r="A71" s="3" t="s">
        <v>106</v>
      </c>
      <c r="B71" s="3" t="s">
        <v>108</v>
      </c>
      <c r="C71">
        <v>1477</v>
      </c>
      <c r="D71">
        <v>34</v>
      </c>
      <c r="E71">
        <v>742</v>
      </c>
      <c r="F71">
        <v>701</v>
      </c>
      <c r="G71">
        <v>21</v>
      </c>
      <c r="H71">
        <v>663</v>
      </c>
      <c r="I71">
        <v>17</v>
      </c>
      <c r="J71">
        <v>0</v>
      </c>
      <c r="K71">
        <v>47.46</v>
      </c>
      <c r="L71">
        <v>0</v>
      </c>
      <c r="M71">
        <v>0</v>
      </c>
      <c r="N71">
        <v>112</v>
      </c>
      <c r="O71">
        <v>32</v>
      </c>
    </row>
    <row r="72" spans="1:15" x14ac:dyDescent="0.3">
      <c r="A72" s="3" t="s">
        <v>106</v>
      </c>
      <c r="B72" s="3" t="s">
        <v>109</v>
      </c>
      <c r="C72">
        <v>17446</v>
      </c>
      <c r="D72">
        <v>399</v>
      </c>
      <c r="E72">
        <v>6771</v>
      </c>
      <c r="F72">
        <v>10276</v>
      </c>
      <c r="G72">
        <v>63</v>
      </c>
      <c r="H72">
        <v>9616</v>
      </c>
      <c r="I72">
        <v>592</v>
      </c>
      <c r="J72">
        <v>5</v>
      </c>
      <c r="K72">
        <v>58.9</v>
      </c>
      <c r="L72">
        <v>0</v>
      </c>
      <c r="M72">
        <v>0</v>
      </c>
      <c r="N72">
        <v>746</v>
      </c>
      <c r="O72">
        <v>605</v>
      </c>
    </row>
    <row r="73" spans="1:15" x14ac:dyDescent="0.3">
      <c r="A73" s="3" t="s">
        <v>106</v>
      </c>
      <c r="B73" s="3" t="s">
        <v>110</v>
      </c>
      <c r="C73">
        <v>11025</v>
      </c>
      <c r="D73">
        <v>188</v>
      </c>
      <c r="E73">
        <v>3253</v>
      </c>
      <c r="F73">
        <v>7584</v>
      </c>
      <c r="G73">
        <v>146</v>
      </c>
      <c r="H73">
        <v>6777</v>
      </c>
      <c r="I73">
        <v>661</v>
      </c>
      <c r="J73">
        <v>0</v>
      </c>
      <c r="K73">
        <v>68.790000000000006</v>
      </c>
      <c r="L73">
        <v>0</v>
      </c>
      <c r="M73">
        <v>0</v>
      </c>
      <c r="N73">
        <v>643</v>
      </c>
      <c r="O73">
        <v>430</v>
      </c>
    </row>
    <row r="74" spans="1:15" x14ac:dyDescent="0.3">
      <c r="A74" s="3" t="s">
        <v>106</v>
      </c>
      <c r="B74" s="3" t="s">
        <v>111</v>
      </c>
      <c r="C74">
        <v>4676</v>
      </c>
      <c r="D74">
        <v>301</v>
      </c>
      <c r="E74">
        <v>1929</v>
      </c>
      <c r="F74">
        <v>2446</v>
      </c>
      <c r="G74">
        <v>19</v>
      </c>
      <c r="H74">
        <v>2318</v>
      </c>
      <c r="I74">
        <v>109</v>
      </c>
      <c r="J74">
        <v>0</v>
      </c>
      <c r="K74">
        <v>52.31</v>
      </c>
      <c r="L74">
        <v>0</v>
      </c>
      <c r="M74">
        <v>0</v>
      </c>
      <c r="N74">
        <v>265</v>
      </c>
      <c r="O74">
        <v>97</v>
      </c>
    </row>
    <row r="75" spans="1:15" x14ac:dyDescent="0.3">
      <c r="A75" s="3" t="s">
        <v>106</v>
      </c>
      <c r="B75" s="3" t="s">
        <v>112</v>
      </c>
      <c r="C75">
        <v>6635</v>
      </c>
      <c r="D75">
        <v>11</v>
      </c>
      <c r="E75">
        <v>3139</v>
      </c>
      <c r="F75">
        <v>3485</v>
      </c>
      <c r="G75">
        <v>85</v>
      </c>
      <c r="H75">
        <v>2481</v>
      </c>
      <c r="I75">
        <v>919</v>
      </c>
      <c r="J75">
        <v>0</v>
      </c>
      <c r="K75">
        <v>52.52</v>
      </c>
      <c r="L75">
        <v>0</v>
      </c>
      <c r="M75">
        <v>0</v>
      </c>
      <c r="N75">
        <v>251</v>
      </c>
      <c r="O75">
        <v>338</v>
      </c>
    </row>
    <row r="76" spans="1:15" x14ac:dyDescent="0.3">
      <c r="A76" s="3" t="s">
        <v>106</v>
      </c>
      <c r="B76" s="3" t="s">
        <v>113</v>
      </c>
      <c r="C76">
        <v>6817</v>
      </c>
      <c r="D76">
        <v>163</v>
      </c>
      <c r="E76">
        <v>2725</v>
      </c>
      <c r="F76">
        <v>3929</v>
      </c>
      <c r="G76">
        <v>81</v>
      </c>
      <c r="H76">
        <v>3580</v>
      </c>
      <c r="I76">
        <v>268</v>
      </c>
      <c r="J76">
        <v>0</v>
      </c>
      <c r="K76">
        <v>57.64</v>
      </c>
      <c r="L76">
        <v>0</v>
      </c>
      <c r="M76">
        <v>0</v>
      </c>
      <c r="N76">
        <v>337</v>
      </c>
      <c r="O76">
        <v>244</v>
      </c>
    </row>
    <row r="77" spans="1:15" x14ac:dyDescent="0.3">
      <c r="A77" s="3" t="s">
        <v>106</v>
      </c>
      <c r="B77" s="3" t="s">
        <v>114</v>
      </c>
      <c r="C77">
        <v>9798</v>
      </c>
      <c r="D77">
        <v>121</v>
      </c>
      <c r="E77">
        <v>3537</v>
      </c>
      <c r="F77">
        <v>6140</v>
      </c>
      <c r="G77">
        <v>105</v>
      </c>
      <c r="H77">
        <v>4593</v>
      </c>
      <c r="I77">
        <v>1442</v>
      </c>
      <c r="J77">
        <v>0</v>
      </c>
      <c r="K77">
        <v>62.67</v>
      </c>
      <c r="L77">
        <v>0</v>
      </c>
      <c r="M77">
        <v>0</v>
      </c>
      <c r="N77">
        <v>453</v>
      </c>
      <c r="O77">
        <v>291</v>
      </c>
    </row>
    <row r="78" spans="1:15" x14ac:dyDescent="0.3">
      <c r="A78" s="3" t="s">
        <v>106</v>
      </c>
      <c r="B78" s="3" t="s">
        <v>115</v>
      </c>
      <c r="C78">
        <v>5342</v>
      </c>
      <c r="D78">
        <v>53</v>
      </c>
      <c r="E78">
        <v>1754</v>
      </c>
      <c r="F78">
        <v>3535</v>
      </c>
      <c r="G78">
        <v>21</v>
      </c>
      <c r="H78">
        <v>3366</v>
      </c>
      <c r="I78">
        <v>148</v>
      </c>
      <c r="J78">
        <v>0</v>
      </c>
      <c r="K78">
        <v>66.17</v>
      </c>
      <c r="L78">
        <v>0</v>
      </c>
      <c r="M78">
        <v>0</v>
      </c>
      <c r="N78">
        <v>305</v>
      </c>
      <c r="O78">
        <v>276</v>
      </c>
    </row>
    <row r="79" spans="1:15" x14ac:dyDescent="0.3">
      <c r="A79" s="3" t="s">
        <v>106</v>
      </c>
      <c r="B79" s="3" t="s">
        <v>116</v>
      </c>
      <c r="C79">
        <v>4194</v>
      </c>
      <c r="D79">
        <v>68</v>
      </c>
      <c r="E79">
        <v>1153</v>
      </c>
      <c r="F79">
        <v>2973</v>
      </c>
      <c r="G79">
        <v>3</v>
      </c>
      <c r="H79">
        <v>2804</v>
      </c>
      <c r="I79">
        <v>166</v>
      </c>
      <c r="J79">
        <v>0</v>
      </c>
      <c r="K79">
        <v>70.89</v>
      </c>
      <c r="L79">
        <v>0</v>
      </c>
      <c r="M79">
        <v>0</v>
      </c>
      <c r="N79">
        <v>241</v>
      </c>
      <c r="O79">
        <v>197</v>
      </c>
    </row>
    <row r="80" spans="1:15" x14ac:dyDescent="0.3">
      <c r="A80" s="3" t="s">
        <v>106</v>
      </c>
      <c r="B80" s="3" t="s">
        <v>117</v>
      </c>
      <c r="C80">
        <v>8457</v>
      </c>
      <c r="D80">
        <v>93</v>
      </c>
      <c r="E80">
        <v>2690</v>
      </c>
      <c r="F80">
        <v>5674</v>
      </c>
      <c r="G80">
        <v>100</v>
      </c>
      <c r="H80">
        <v>4268</v>
      </c>
      <c r="I80">
        <v>1306</v>
      </c>
      <c r="J80">
        <v>0</v>
      </c>
      <c r="K80">
        <v>67.09</v>
      </c>
      <c r="L80">
        <v>0</v>
      </c>
      <c r="M80">
        <v>0</v>
      </c>
      <c r="N80">
        <v>378</v>
      </c>
      <c r="O80">
        <v>463</v>
      </c>
    </row>
    <row r="81" spans="1:15" x14ac:dyDescent="0.3">
      <c r="A81" s="3" t="s">
        <v>106</v>
      </c>
      <c r="B81" s="3" t="s">
        <v>118</v>
      </c>
      <c r="C81">
        <v>9602</v>
      </c>
      <c r="D81">
        <v>259</v>
      </c>
      <c r="E81">
        <v>3449</v>
      </c>
      <c r="F81">
        <v>5894</v>
      </c>
      <c r="G81">
        <v>72</v>
      </c>
      <c r="H81">
        <v>5417</v>
      </c>
      <c r="I81">
        <v>405</v>
      </c>
      <c r="J81">
        <v>0</v>
      </c>
      <c r="K81">
        <v>61.38</v>
      </c>
      <c r="L81">
        <v>0</v>
      </c>
      <c r="M81">
        <v>0</v>
      </c>
      <c r="N81">
        <v>470</v>
      </c>
      <c r="O81">
        <v>376</v>
      </c>
    </row>
    <row r="82" spans="1:15" x14ac:dyDescent="0.3">
      <c r="A82" s="3" t="s">
        <v>106</v>
      </c>
      <c r="B82" s="3" t="s">
        <v>119</v>
      </c>
      <c r="C82">
        <v>4572</v>
      </c>
      <c r="D82">
        <v>54</v>
      </c>
      <c r="E82">
        <v>1680</v>
      </c>
      <c r="F82">
        <v>2838</v>
      </c>
      <c r="G82">
        <v>34</v>
      </c>
      <c r="H82">
        <v>2748</v>
      </c>
      <c r="I82">
        <v>56</v>
      </c>
      <c r="J82">
        <v>0</v>
      </c>
      <c r="K82">
        <v>62.07</v>
      </c>
      <c r="L82">
        <v>0</v>
      </c>
      <c r="M82">
        <v>0</v>
      </c>
      <c r="N82">
        <v>208</v>
      </c>
      <c r="O82">
        <v>221</v>
      </c>
    </row>
    <row r="83" spans="1:15" x14ac:dyDescent="0.3">
      <c r="A83" s="3" t="s">
        <v>106</v>
      </c>
      <c r="B83" s="3" t="s">
        <v>120</v>
      </c>
      <c r="C83">
        <v>12698</v>
      </c>
      <c r="D83">
        <v>217</v>
      </c>
      <c r="E83">
        <v>5249</v>
      </c>
      <c r="F83">
        <v>7232</v>
      </c>
      <c r="G83">
        <v>108</v>
      </c>
      <c r="H83">
        <v>6245</v>
      </c>
      <c r="I83">
        <v>879</v>
      </c>
      <c r="J83">
        <v>0</v>
      </c>
      <c r="K83">
        <v>56.95</v>
      </c>
      <c r="L83">
        <v>0</v>
      </c>
      <c r="M83">
        <v>0</v>
      </c>
      <c r="N83">
        <v>786</v>
      </c>
      <c r="O83">
        <v>390</v>
      </c>
    </row>
    <row r="84" spans="1:15" x14ac:dyDescent="0.3">
      <c r="A84" s="3" t="s">
        <v>106</v>
      </c>
      <c r="B84" s="3" t="s">
        <v>121</v>
      </c>
      <c r="C84">
        <v>10287</v>
      </c>
      <c r="D84">
        <v>373</v>
      </c>
      <c r="E84">
        <v>4504</v>
      </c>
      <c r="F84">
        <v>5410</v>
      </c>
      <c r="G84">
        <v>448</v>
      </c>
      <c r="H84">
        <v>2098</v>
      </c>
      <c r="I84">
        <v>2864</v>
      </c>
      <c r="J84">
        <v>0</v>
      </c>
      <c r="K84">
        <v>52.59</v>
      </c>
      <c r="L84">
        <v>0</v>
      </c>
      <c r="M84">
        <v>0</v>
      </c>
      <c r="N84">
        <v>455</v>
      </c>
      <c r="O84">
        <v>264</v>
      </c>
    </row>
    <row r="85" spans="1:15" x14ac:dyDescent="0.3">
      <c r="A85" s="3" t="s">
        <v>106</v>
      </c>
      <c r="B85" s="3" t="s">
        <v>122</v>
      </c>
      <c r="C85">
        <v>4082</v>
      </c>
      <c r="D85">
        <v>43</v>
      </c>
      <c r="E85">
        <v>1258</v>
      </c>
      <c r="F85">
        <v>2781</v>
      </c>
      <c r="G85">
        <v>6</v>
      </c>
      <c r="H85">
        <v>2439</v>
      </c>
      <c r="I85">
        <v>336</v>
      </c>
      <c r="J85">
        <v>0</v>
      </c>
      <c r="K85">
        <v>68.13</v>
      </c>
      <c r="L85">
        <v>0</v>
      </c>
      <c r="M85">
        <v>0</v>
      </c>
      <c r="N85">
        <v>129</v>
      </c>
      <c r="O85">
        <v>114</v>
      </c>
    </row>
    <row r="86" spans="1:15" x14ac:dyDescent="0.3">
      <c r="A86" s="3" t="s">
        <v>123</v>
      </c>
      <c r="B86" s="3" t="s">
        <v>124</v>
      </c>
      <c r="C86">
        <v>9142</v>
      </c>
      <c r="D86">
        <v>56</v>
      </c>
      <c r="E86">
        <v>3703</v>
      </c>
      <c r="F86">
        <v>5383</v>
      </c>
      <c r="G86">
        <v>113</v>
      </c>
      <c r="H86">
        <v>3958</v>
      </c>
      <c r="I86">
        <v>1312</v>
      </c>
      <c r="J86">
        <v>0</v>
      </c>
      <c r="K86">
        <v>58.88</v>
      </c>
      <c r="L86">
        <v>0</v>
      </c>
      <c r="M86">
        <v>0</v>
      </c>
      <c r="N86">
        <v>634</v>
      </c>
      <c r="O86">
        <v>439</v>
      </c>
    </row>
    <row r="87" spans="1:15" x14ac:dyDescent="0.3">
      <c r="A87" s="3" t="s">
        <v>123</v>
      </c>
      <c r="B87" s="3" t="s">
        <v>125</v>
      </c>
      <c r="C87">
        <v>5768</v>
      </c>
      <c r="D87">
        <v>220</v>
      </c>
      <c r="E87">
        <v>2318</v>
      </c>
      <c r="F87">
        <v>3230</v>
      </c>
      <c r="G87">
        <v>22</v>
      </c>
      <c r="H87">
        <v>2720</v>
      </c>
      <c r="I87">
        <v>488</v>
      </c>
      <c r="J87">
        <v>0</v>
      </c>
      <c r="K87">
        <v>56</v>
      </c>
      <c r="L87">
        <v>0</v>
      </c>
      <c r="M87">
        <v>0</v>
      </c>
      <c r="N87">
        <v>341</v>
      </c>
      <c r="O87">
        <v>363</v>
      </c>
    </row>
    <row r="88" spans="1:15" x14ac:dyDescent="0.3">
      <c r="A88" s="3" t="s">
        <v>123</v>
      </c>
      <c r="B88" s="3" t="s">
        <v>126</v>
      </c>
      <c r="C88">
        <v>9521</v>
      </c>
      <c r="D88">
        <v>282</v>
      </c>
      <c r="E88">
        <v>2954</v>
      </c>
      <c r="F88">
        <v>6285</v>
      </c>
      <c r="G88">
        <v>23</v>
      </c>
      <c r="H88">
        <v>5560</v>
      </c>
      <c r="I88">
        <v>702</v>
      </c>
      <c r="J88">
        <v>0</v>
      </c>
      <c r="K88">
        <v>66.010000000000005</v>
      </c>
      <c r="L88">
        <v>0</v>
      </c>
      <c r="M88">
        <v>0</v>
      </c>
      <c r="N88">
        <v>590</v>
      </c>
      <c r="O88">
        <v>487</v>
      </c>
    </row>
    <row r="89" spans="1:15" x14ac:dyDescent="0.3">
      <c r="A89" s="3" t="s">
        <v>123</v>
      </c>
      <c r="B89" s="3" t="s">
        <v>127</v>
      </c>
      <c r="C89">
        <v>5255</v>
      </c>
      <c r="D89">
        <v>67</v>
      </c>
      <c r="E89">
        <v>2007</v>
      </c>
      <c r="F89">
        <v>3181</v>
      </c>
      <c r="G89">
        <v>8</v>
      </c>
      <c r="H89">
        <v>3053</v>
      </c>
      <c r="I89">
        <v>120</v>
      </c>
      <c r="J89">
        <v>0</v>
      </c>
      <c r="K89">
        <v>60.53</v>
      </c>
      <c r="L89">
        <v>0</v>
      </c>
      <c r="M89">
        <v>0</v>
      </c>
      <c r="N89">
        <v>399</v>
      </c>
      <c r="O89">
        <v>419</v>
      </c>
    </row>
    <row r="90" spans="1:15" x14ac:dyDescent="0.3">
      <c r="A90" s="3" t="s">
        <v>123</v>
      </c>
      <c r="B90" s="3" t="s">
        <v>128</v>
      </c>
      <c r="C90">
        <v>4364</v>
      </c>
      <c r="D90">
        <v>300</v>
      </c>
      <c r="E90">
        <v>1414</v>
      </c>
      <c r="F90">
        <v>2650</v>
      </c>
      <c r="G90">
        <v>8</v>
      </c>
      <c r="H90">
        <v>2459</v>
      </c>
      <c r="I90">
        <v>183</v>
      </c>
      <c r="J90">
        <v>0</v>
      </c>
      <c r="K90">
        <v>60.72</v>
      </c>
      <c r="L90">
        <v>0</v>
      </c>
      <c r="M90">
        <v>0</v>
      </c>
      <c r="N90">
        <v>359</v>
      </c>
      <c r="O90">
        <v>180</v>
      </c>
    </row>
    <row r="91" spans="1:15" x14ac:dyDescent="0.3">
      <c r="A91" s="3" t="s">
        <v>123</v>
      </c>
      <c r="B91" s="3" t="s">
        <v>129</v>
      </c>
      <c r="C91">
        <v>27026</v>
      </c>
      <c r="D91">
        <v>1247</v>
      </c>
      <c r="E91">
        <v>11397</v>
      </c>
      <c r="F91">
        <v>14382</v>
      </c>
      <c r="G91">
        <v>513</v>
      </c>
      <c r="H91">
        <v>11071</v>
      </c>
      <c r="I91">
        <v>2798</v>
      </c>
      <c r="J91">
        <v>0</v>
      </c>
      <c r="K91">
        <v>53.22</v>
      </c>
      <c r="L91">
        <v>0</v>
      </c>
      <c r="M91">
        <v>0</v>
      </c>
      <c r="N91">
        <v>2260</v>
      </c>
      <c r="O91">
        <v>1595</v>
      </c>
    </row>
    <row r="92" spans="1:15" x14ac:dyDescent="0.3">
      <c r="A92" s="3" t="s">
        <v>123</v>
      </c>
      <c r="B92" s="3" t="s">
        <v>130</v>
      </c>
      <c r="C92">
        <v>4904</v>
      </c>
      <c r="D92">
        <v>138</v>
      </c>
      <c r="E92">
        <v>2156</v>
      </c>
      <c r="F92">
        <v>2610</v>
      </c>
      <c r="G92">
        <v>66</v>
      </c>
      <c r="H92">
        <v>2094</v>
      </c>
      <c r="I92">
        <v>450</v>
      </c>
      <c r="J92">
        <v>0</v>
      </c>
      <c r="K92">
        <v>53.22</v>
      </c>
      <c r="L92">
        <v>0</v>
      </c>
      <c r="M92">
        <v>0</v>
      </c>
      <c r="N92">
        <v>388</v>
      </c>
      <c r="O92">
        <v>155</v>
      </c>
    </row>
    <row r="93" spans="1:15" x14ac:dyDescent="0.3">
      <c r="A93" s="3" t="s">
        <v>123</v>
      </c>
      <c r="B93" s="3" t="s">
        <v>131</v>
      </c>
      <c r="C93">
        <v>15196</v>
      </c>
      <c r="D93">
        <v>652</v>
      </c>
      <c r="E93">
        <v>6032</v>
      </c>
      <c r="F93">
        <v>8512</v>
      </c>
      <c r="G93">
        <v>106</v>
      </c>
      <c r="H93">
        <v>7513</v>
      </c>
      <c r="I93">
        <v>893</v>
      </c>
      <c r="J93">
        <v>0</v>
      </c>
      <c r="K93">
        <v>56.01</v>
      </c>
      <c r="L93">
        <v>0</v>
      </c>
      <c r="M93">
        <v>0</v>
      </c>
      <c r="N93">
        <v>1289</v>
      </c>
      <c r="O93">
        <v>761</v>
      </c>
    </row>
    <row r="94" spans="1:15" x14ac:dyDescent="0.3">
      <c r="A94" s="3" t="s">
        <v>123</v>
      </c>
      <c r="B94" s="3" t="s">
        <v>132</v>
      </c>
      <c r="C94">
        <v>7863</v>
      </c>
      <c r="D94">
        <v>92</v>
      </c>
      <c r="E94">
        <v>3166</v>
      </c>
      <c r="F94">
        <v>4605</v>
      </c>
      <c r="G94">
        <v>32</v>
      </c>
      <c r="H94">
        <v>4120</v>
      </c>
      <c r="I94">
        <v>453</v>
      </c>
      <c r="J94">
        <v>0</v>
      </c>
      <c r="K94">
        <v>58.57</v>
      </c>
      <c r="L94">
        <v>0</v>
      </c>
      <c r="M94">
        <v>0</v>
      </c>
      <c r="N94">
        <v>616</v>
      </c>
      <c r="O94">
        <v>409</v>
      </c>
    </row>
    <row r="95" spans="1:15" x14ac:dyDescent="0.3">
      <c r="A95" s="3" t="s">
        <v>123</v>
      </c>
      <c r="B95" s="3" t="s">
        <v>133</v>
      </c>
      <c r="C95">
        <v>3966</v>
      </c>
      <c r="D95">
        <v>240</v>
      </c>
      <c r="E95">
        <v>1512</v>
      </c>
      <c r="F95">
        <v>2214</v>
      </c>
      <c r="G95">
        <v>64</v>
      </c>
      <c r="H95">
        <v>1974</v>
      </c>
      <c r="I95">
        <v>176</v>
      </c>
      <c r="J95">
        <v>0</v>
      </c>
      <c r="K95">
        <v>55.82</v>
      </c>
      <c r="L95">
        <v>0</v>
      </c>
      <c r="M95">
        <v>0</v>
      </c>
      <c r="N95">
        <v>344</v>
      </c>
      <c r="O95">
        <v>187</v>
      </c>
    </row>
    <row r="96" spans="1:15" x14ac:dyDescent="0.3">
      <c r="A96" s="3" t="s">
        <v>134</v>
      </c>
      <c r="B96" s="3" t="s">
        <v>37</v>
      </c>
      <c r="C96">
        <v>133</v>
      </c>
      <c r="D96">
        <v>68</v>
      </c>
      <c r="E96">
        <v>39</v>
      </c>
      <c r="F96">
        <v>26</v>
      </c>
      <c r="G96">
        <v>0</v>
      </c>
      <c r="H96">
        <v>0</v>
      </c>
      <c r="I96">
        <v>0</v>
      </c>
      <c r="J96">
        <v>26</v>
      </c>
      <c r="K96">
        <v>19.55</v>
      </c>
      <c r="L96">
        <v>0</v>
      </c>
      <c r="M96">
        <v>0</v>
      </c>
      <c r="N96">
        <v>42</v>
      </c>
      <c r="O96">
        <v>0</v>
      </c>
    </row>
    <row r="97" spans="1:15" x14ac:dyDescent="0.3">
      <c r="A97" s="3" t="s">
        <v>134</v>
      </c>
      <c r="B97" s="3" t="s">
        <v>135</v>
      </c>
      <c r="C97">
        <v>4880</v>
      </c>
      <c r="D97">
        <v>159</v>
      </c>
      <c r="E97">
        <v>1746</v>
      </c>
      <c r="F97">
        <v>2975</v>
      </c>
      <c r="G97">
        <v>353</v>
      </c>
      <c r="H97">
        <v>2123</v>
      </c>
      <c r="I97">
        <v>498</v>
      </c>
      <c r="J97">
        <v>1</v>
      </c>
      <c r="K97">
        <v>60.96</v>
      </c>
      <c r="L97">
        <v>0</v>
      </c>
      <c r="M97">
        <v>0</v>
      </c>
      <c r="N97">
        <v>419</v>
      </c>
      <c r="O97">
        <v>248</v>
      </c>
    </row>
    <row r="98" spans="1:15" x14ac:dyDescent="0.3">
      <c r="A98" s="3" t="s">
        <v>134</v>
      </c>
      <c r="B98" s="3" t="s">
        <v>136</v>
      </c>
      <c r="C98">
        <v>15256</v>
      </c>
      <c r="D98">
        <v>861</v>
      </c>
      <c r="E98">
        <v>6358</v>
      </c>
      <c r="F98">
        <v>8037</v>
      </c>
      <c r="G98">
        <v>449</v>
      </c>
      <c r="H98">
        <v>6381</v>
      </c>
      <c r="I98">
        <v>1201</v>
      </c>
      <c r="J98">
        <v>6</v>
      </c>
      <c r="K98">
        <v>52.68</v>
      </c>
      <c r="L98">
        <v>0</v>
      </c>
      <c r="M98">
        <v>0</v>
      </c>
      <c r="N98">
        <v>1290</v>
      </c>
      <c r="O98">
        <v>448</v>
      </c>
    </row>
    <row r="99" spans="1:15" x14ac:dyDescent="0.3">
      <c r="A99" s="3" t="s">
        <v>134</v>
      </c>
      <c r="B99" s="3" t="s">
        <v>137</v>
      </c>
      <c r="C99">
        <v>3976</v>
      </c>
      <c r="D99">
        <v>188</v>
      </c>
      <c r="E99">
        <v>1625</v>
      </c>
      <c r="F99">
        <v>2163</v>
      </c>
      <c r="G99">
        <v>104</v>
      </c>
      <c r="H99">
        <v>1970</v>
      </c>
      <c r="I99">
        <v>87</v>
      </c>
      <c r="J99">
        <v>2</v>
      </c>
      <c r="K99">
        <v>54.4</v>
      </c>
      <c r="L99">
        <v>0</v>
      </c>
      <c r="M99">
        <v>0</v>
      </c>
      <c r="N99">
        <v>241</v>
      </c>
      <c r="O99">
        <v>90</v>
      </c>
    </row>
    <row r="100" spans="1:15" x14ac:dyDescent="0.3">
      <c r="A100" s="3" t="s">
        <v>134</v>
      </c>
      <c r="B100" s="3" t="s">
        <v>138</v>
      </c>
      <c r="C100">
        <v>7152</v>
      </c>
      <c r="D100">
        <v>566</v>
      </c>
      <c r="E100">
        <v>2425</v>
      </c>
      <c r="F100">
        <v>4161</v>
      </c>
      <c r="G100">
        <v>140</v>
      </c>
      <c r="H100">
        <v>3352</v>
      </c>
      <c r="I100">
        <v>668</v>
      </c>
      <c r="J100">
        <v>1</v>
      </c>
      <c r="K100">
        <v>58.18</v>
      </c>
      <c r="L100">
        <v>0</v>
      </c>
      <c r="M100">
        <v>0</v>
      </c>
      <c r="N100">
        <v>457</v>
      </c>
      <c r="O100">
        <v>243</v>
      </c>
    </row>
    <row r="101" spans="1:15" x14ac:dyDescent="0.3">
      <c r="A101" s="3" t="s">
        <v>134</v>
      </c>
      <c r="B101" s="3" t="s">
        <v>139</v>
      </c>
      <c r="C101">
        <v>3990</v>
      </c>
      <c r="D101">
        <v>117</v>
      </c>
      <c r="E101">
        <v>1564</v>
      </c>
      <c r="F101">
        <v>2309</v>
      </c>
      <c r="G101">
        <v>61</v>
      </c>
      <c r="H101">
        <v>1730</v>
      </c>
      <c r="I101">
        <v>517</v>
      </c>
      <c r="J101">
        <v>1</v>
      </c>
      <c r="K101">
        <v>57.87</v>
      </c>
      <c r="L101">
        <v>0</v>
      </c>
      <c r="M101">
        <v>0</v>
      </c>
      <c r="N101">
        <v>322</v>
      </c>
      <c r="O101">
        <v>153</v>
      </c>
    </row>
    <row r="102" spans="1:15" x14ac:dyDescent="0.3">
      <c r="A102" s="3" t="s">
        <v>134</v>
      </c>
      <c r="B102" s="3" t="s">
        <v>140</v>
      </c>
      <c r="C102">
        <v>7363</v>
      </c>
      <c r="D102">
        <v>422</v>
      </c>
      <c r="E102">
        <v>2943</v>
      </c>
      <c r="F102">
        <v>3998</v>
      </c>
      <c r="G102">
        <v>176</v>
      </c>
      <c r="H102">
        <v>3619</v>
      </c>
      <c r="I102">
        <v>199</v>
      </c>
      <c r="J102">
        <v>4</v>
      </c>
      <c r="K102">
        <v>54.3</v>
      </c>
      <c r="L102">
        <v>0</v>
      </c>
      <c r="M102">
        <v>0</v>
      </c>
      <c r="N102">
        <v>533</v>
      </c>
      <c r="O102">
        <v>224</v>
      </c>
    </row>
    <row r="103" spans="1:15" x14ac:dyDescent="0.3">
      <c r="A103" s="3" t="s">
        <v>134</v>
      </c>
      <c r="B103" s="3" t="s">
        <v>141</v>
      </c>
      <c r="C103">
        <v>5993</v>
      </c>
      <c r="D103">
        <v>306</v>
      </c>
      <c r="E103">
        <v>2474</v>
      </c>
      <c r="F103">
        <v>3213</v>
      </c>
      <c r="G103">
        <v>105</v>
      </c>
      <c r="H103">
        <v>2973</v>
      </c>
      <c r="I103">
        <v>133</v>
      </c>
      <c r="J103">
        <v>2</v>
      </c>
      <c r="K103">
        <v>53.61</v>
      </c>
      <c r="L103">
        <v>0</v>
      </c>
      <c r="M103">
        <v>0</v>
      </c>
      <c r="N103">
        <v>446</v>
      </c>
      <c r="O103">
        <v>96</v>
      </c>
    </row>
    <row r="104" spans="1:15" x14ac:dyDescent="0.3">
      <c r="A104" s="3" t="s">
        <v>134</v>
      </c>
      <c r="B104" s="3" t="s">
        <v>142</v>
      </c>
      <c r="C104">
        <v>4172</v>
      </c>
      <c r="D104">
        <v>338</v>
      </c>
      <c r="E104">
        <v>1528</v>
      </c>
      <c r="F104">
        <v>2306</v>
      </c>
      <c r="G104">
        <v>46</v>
      </c>
      <c r="H104">
        <v>2046</v>
      </c>
      <c r="I104">
        <v>214</v>
      </c>
      <c r="J104">
        <v>0</v>
      </c>
      <c r="K104">
        <v>55.27</v>
      </c>
      <c r="L104">
        <v>0</v>
      </c>
      <c r="M104">
        <v>0</v>
      </c>
      <c r="N104">
        <v>359</v>
      </c>
      <c r="O104">
        <v>102</v>
      </c>
    </row>
    <row r="105" spans="1:15" x14ac:dyDescent="0.3">
      <c r="A105" s="3" t="s">
        <v>134</v>
      </c>
      <c r="B105" s="3" t="s">
        <v>143</v>
      </c>
      <c r="C105">
        <v>5178</v>
      </c>
      <c r="D105">
        <v>233</v>
      </c>
      <c r="E105">
        <v>1679</v>
      </c>
      <c r="F105">
        <v>3266</v>
      </c>
      <c r="G105">
        <v>46</v>
      </c>
      <c r="H105">
        <v>2250</v>
      </c>
      <c r="I105">
        <v>969</v>
      </c>
      <c r="J105">
        <v>1</v>
      </c>
      <c r="K105">
        <v>63.07</v>
      </c>
      <c r="L105">
        <v>0</v>
      </c>
      <c r="M105">
        <v>0</v>
      </c>
      <c r="N105">
        <v>552</v>
      </c>
      <c r="O105">
        <v>77</v>
      </c>
    </row>
    <row r="106" spans="1:15" x14ac:dyDescent="0.3">
      <c r="A106" s="3" t="s">
        <v>134</v>
      </c>
      <c r="B106" s="3" t="s">
        <v>144</v>
      </c>
      <c r="C106">
        <v>5556</v>
      </c>
      <c r="D106">
        <v>606</v>
      </c>
      <c r="E106">
        <v>2112</v>
      </c>
      <c r="F106">
        <v>2838</v>
      </c>
      <c r="G106">
        <v>69</v>
      </c>
      <c r="H106">
        <v>2657</v>
      </c>
      <c r="I106">
        <v>111</v>
      </c>
      <c r="J106">
        <v>1</v>
      </c>
      <c r="K106">
        <v>51.08</v>
      </c>
      <c r="L106">
        <v>0</v>
      </c>
      <c r="M106">
        <v>0</v>
      </c>
      <c r="N106">
        <v>399</v>
      </c>
      <c r="O106">
        <v>126</v>
      </c>
    </row>
    <row r="107" spans="1:15" x14ac:dyDescent="0.3">
      <c r="A107" s="3" t="s">
        <v>134</v>
      </c>
      <c r="B107" s="3" t="s">
        <v>145</v>
      </c>
      <c r="C107">
        <v>2588</v>
      </c>
      <c r="D107">
        <v>213</v>
      </c>
      <c r="E107">
        <v>856</v>
      </c>
      <c r="F107">
        <v>1519</v>
      </c>
      <c r="G107">
        <v>44</v>
      </c>
      <c r="H107">
        <v>1279</v>
      </c>
      <c r="I107">
        <v>195</v>
      </c>
      <c r="J107">
        <v>1</v>
      </c>
      <c r="K107">
        <v>58.69</v>
      </c>
      <c r="L107">
        <v>0</v>
      </c>
      <c r="M107">
        <v>0</v>
      </c>
      <c r="N107">
        <v>204</v>
      </c>
      <c r="O107">
        <v>102</v>
      </c>
    </row>
    <row r="108" spans="1:15" x14ac:dyDescent="0.3">
      <c r="A108" s="3" t="s">
        <v>146</v>
      </c>
      <c r="B108" s="3" t="s">
        <v>147</v>
      </c>
      <c r="C108">
        <v>8885</v>
      </c>
      <c r="D108">
        <v>320</v>
      </c>
      <c r="E108">
        <v>3495</v>
      </c>
      <c r="F108">
        <v>5070</v>
      </c>
      <c r="G108">
        <v>239</v>
      </c>
      <c r="H108">
        <v>2620</v>
      </c>
      <c r="I108">
        <v>2211</v>
      </c>
      <c r="J108">
        <v>0</v>
      </c>
      <c r="K108">
        <v>57.06</v>
      </c>
      <c r="L108">
        <v>0</v>
      </c>
      <c r="M108">
        <v>0</v>
      </c>
      <c r="N108">
        <v>633</v>
      </c>
      <c r="O108">
        <v>272</v>
      </c>
    </row>
    <row r="109" spans="1:15" x14ac:dyDescent="0.3">
      <c r="A109" s="3" t="s">
        <v>146</v>
      </c>
      <c r="B109" s="3" t="s">
        <v>148</v>
      </c>
      <c r="C109">
        <v>9695</v>
      </c>
      <c r="D109">
        <v>203</v>
      </c>
      <c r="E109">
        <v>3078</v>
      </c>
      <c r="F109">
        <v>6414</v>
      </c>
      <c r="G109">
        <v>286</v>
      </c>
      <c r="H109">
        <v>3778</v>
      </c>
      <c r="I109">
        <v>2350</v>
      </c>
      <c r="J109">
        <v>0</v>
      </c>
      <c r="K109">
        <v>66.16</v>
      </c>
      <c r="L109">
        <v>0</v>
      </c>
      <c r="M109">
        <v>0</v>
      </c>
      <c r="N109">
        <v>718</v>
      </c>
      <c r="O109">
        <v>285</v>
      </c>
    </row>
    <row r="110" spans="1:15" x14ac:dyDescent="0.3">
      <c r="A110" s="3" t="s">
        <v>146</v>
      </c>
      <c r="B110" s="3" t="s">
        <v>149</v>
      </c>
      <c r="C110">
        <v>7410</v>
      </c>
      <c r="D110">
        <v>1</v>
      </c>
      <c r="E110">
        <v>2786</v>
      </c>
      <c r="F110">
        <v>4623</v>
      </c>
      <c r="G110">
        <v>200</v>
      </c>
      <c r="H110">
        <v>2132</v>
      </c>
      <c r="I110">
        <v>2291</v>
      </c>
      <c r="J110">
        <v>0</v>
      </c>
      <c r="K110">
        <v>62.39</v>
      </c>
      <c r="L110">
        <v>0</v>
      </c>
      <c r="M110">
        <v>0</v>
      </c>
      <c r="N110">
        <v>337</v>
      </c>
      <c r="O110">
        <v>64</v>
      </c>
    </row>
    <row r="111" spans="1:15" x14ac:dyDescent="0.3">
      <c r="A111" s="3" t="s">
        <v>146</v>
      </c>
      <c r="B111" s="3" t="s">
        <v>150</v>
      </c>
      <c r="C111">
        <v>14689</v>
      </c>
      <c r="D111">
        <v>217</v>
      </c>
      <c r="E111">
        <v>7366</v>
      </c>
      <c r="F111">
        <v>7106</v>
      </c>
      <c r="G111">
        <v>591</v>
      </c>
      <c r="H111">
        <v>3457</v>
      </c>
      <c r="I111">
        <v>3054</v>
      </c>
      <c r="J111">
        <v>4</v>
      </c>
      <c r="K111">
        <v>48.38</v>
      </c>
      <c r="L111">
        <v>0</v>
      </c>
      <c r="M111">
        <v>0</v>
      </c>
      <c r="N111">
        <v>692</v>
      </c>
      <c r="O111">
        <v>524</v>
      </c>
    </row>
    <row r="112" spans="1:15" x14ac:dyDescent="0.3">
      <c r="A112" s="3" t="s">
        <v>146</v>
      </c>
      <c r="B112" s="3" t="s">
        <v>151</v>
      </c>
      <c r="C112">
        <v>9698</v>
      </c>
      <c r="D112">
        <v>87</v>
      </c>
      <c r="E112">
        <v>4678</v>
      </c>
      <c r="F112">
        <v>4933</v>
      </c>
      <c r="G112">
        <v>433</v>
      </c>
      <c r="H112">
        <v>3599</v>
      </c>
      <c r="I112">
        <v>901</v>
      </c>
      <c r="J112">
        <v>0</v>
      </c>
      <c r="K112">
        <v>50.87</v>
      </c>
      <c r="L112">
        <v>0</v>
      </c>
      <c r="M112">
        <v>0</v>
      </c>
      <c r="N112">
        <v>375</v>
      </c>
      <c r="O112">
        <v>394</v>
      </c>
    </row>
    <row r="113" spans="1:15" x14ac:dyDescent="0.3">
      <c r="A113" s="3" t="s">
        <v>146</v>
      </c>
      <c r="B113" s="3" t="s">
        <v>152</v>
      </c>
      <c r="C113">
        <v>3214</v>
      </c>
      <c r="D113">
        <v>47</v>
      </c>
      <c r="E113">
        <v>1633</v>
      </c>
      <c r="F113">
        <v>1534</v>
      </c>
      <c r="G113">
        <v>30</v>
      </c>
      <c r="H113">
        <v>1163</v>
      </c>
      <c r="I113">
        <v>341</v>
      </c>
      <c r="J113">
        <v>0</v>
      </c>
      <c r="K113">
        <v>47.73</v>
      </c>
      <c r="L113">
        <v>0</v>
      </c>
      <c r="M113">
        <v>0</v>
      </c>
      <c r="N113">
        <v>164</v>
      </c>
      <c r="O113">
        <v>49</v>
      </c>
    </row>
    <row r="114" spans="1:15" x14ac:dyDescent="0.3">
      <c r="A114" s="3" t="s">
        <v>146</v>
      </c>
      <c r="B114" s="3" t="s">
        <v>153</v>
      </c>
      <c r="C114">
        <v>2507</v>
      </c>
      <c r="D114">
        <v>51</v>
      </c>
      <c r="E114">
        <v>763</v>
      </c>
      <c r="F114">
        <v>1693</v>
      </c>
      <c r="G114">
        <v>21</v>
      </c>
      <c r="H114">
        <v>1001</v>
      </c>
      <c r="I114">
        <v>671</v>
      </c>
      <c r="J114">
        <v>0</v>
      </c>
      <c r="K114">
        <v>67.53</v>
      </c>
      <c r="L114">
        <v>0</v>
      </c>
      <c r="M114">
        <v>0</v>
      </c>
      <c r="N114">
        <v>127</v>
      </c>
      <c r="O114">
        <v>30</v>
      </c>
    </row>
    <row r="115" spans="1:15" x14ac:dyDescent="0.3">
      <c r="A115" s="3" t="s">
        <v>146</v>
      </c>
      <c r="B115" s="3" t="s">
        <v>154</v>
      </c>
      <c r="C115">
        <v>3745</v>
      </c>
      <c r="D115">
        <v>253</v>
      </c>
      <c r="E115">
        <v>1129</v>
      </c>
      <c r="F115">
        <v>2363</v>
      </c>
      <c r="G115">
        <v>53</v>
      </c>
      <c r="H115">
        <v>1393</v>
      </c>
      <c r="I115">
        <v>917</v>
      </c>
      <c r="J115">
        <v>0</v>
      </c>
      <c r="K115">
        <v>63.1</v>
      </c>
      <c r="L115">
        <v>0</v>
      </c>
      <c r="M115">
        <v>0</v>
      </c>
      <c r="N115">
        <v>183</v>
      </c>
      <c r="O115">
        <v>115</v>
      </c>
    </row>
    <row r="116" spans="1:15" x14ac:dyDescent="0.3">
      <c r="A116" s="3" t="s">
        <v>146</v>
      </c>
      <c r="B116" s="3" t="s">
        <v>155</v>
      </c>
      <c r="C116">
        <v>9996</v>
      </c>
      <c r="D116">
        <v>173</v>
      </c>
      <c r="E116">
        <v>3043</v>
      </c>
      <c r="F116">
        <v>6780</v>
      </c>
      <c r="G116">
        <v>24</v>
      </c>
      <c r="H116">
        <v>6310</v>
      </c>
      <c r="I116">
        <v>446</v>
      </c>
      <c r="J116">
        <v>0</v>
      </c>
      <c r="K116">
        <v>67.83</v>
      </c>
      <c r="L116">
        <v>0</v>
      </c>
      <c r="M116">
        <v>0</v>
      </c>
      <c r="N116">
        <v>525</v>
      </c>
      <c r="O116">
        <v>384</v>
      </c>
    </row>
    <row r="117" spans="1:15" x14ac:dyDescent="0.3">
      <c r="A117" s="3" t="s">
        <v>146</v>
      </c>
      <c r="B117" s="3" t="s">
        <v>156</v>
      </c>
      <c r="C117">
        <v>10160</v>
      </c>
      <c r="D117">
        <v>347</v>
      </c>
      <c r="E117">
        <v>4288</v>
      </c>
      <c r="F117">
        <v>5525</v>
      </c>
      <c r="G117">
        <v>156</v>
      </c>
      <c r="H117">
        <v>3785</v>
      </c>
      <c r="I117">
        <v>1584</v>
      </c>
      <c r="J117">
        <v>0</v>
      </c>
      <c r="K117">
        <v>54.38</v>
      </c>
      <c r="L117">
        <v>0</v>
      </c>
      <c r="M117">
        <v>0</v>
      </c>
      <c r="N117">
        <v>469</v>
      </c>
      <c r="O117">
        <v>359</v>
      </c>
    </row>
    <row r="118" spans="1:15" x14ac:dyDescent="0.3">
      <c r="A118" s="3" t="s">
        <v>146</v>
      </c>
      <c r="B118" s="3" t="s">
        <v>157</v>
      </c>
      <c r="C118">
        <v>7004</v>
      </c>
      <c r="D118">
        <v>27</v>
      </c>
      <c r="E118">
        <v>2007</v>
      </c>
      <c r="F118">
        <v>4970</v>
      </c>
      <c r="G118">
        <v>525</v>
      </c>
      <c r="H118">
        <v>3623</v>
      </c>
      <c r="I118">
        <v>822</v>
      </c>
      <c r="J118">
        <v>0</v>
      </c>
      <c r="K118">
        <v>70.959999999999994</v>
      </c>
      <c r="L118">
        <v>0</v>
      </c>
      <c r="M118">
        <v>0</v>
      </c>
      <c r="N118">
        <v>337</v>
      </c>
      <c r="O118">
        <v>354</v>
      </c>
    </row>
    <row r="119" spans="1:15" x14ac:dyDescent="0.3">
      <c r="A119" s="3" t="s">
        <v>146</v>
      </c>
      <c r="B119" s="3" t="s">
        <v>158</v>
      </c>
      <c r="C119">
        <v>4457</v>
      </c>
      <c r="D119">
        <v>139</v>
      </c>
      <c r="E119">
        <v>1472</v>
      </c>
      <c r="F119">
        <v>2846</v>
      </c>
      <c r="G119">
        <v>243</v>
      </c>
      <c r="H119">
        <v>1221</v>
      </c>
      <c r="I119">
        <v>1382</v>
      </c>
      <c r="J119">
        <v>0</v>
      </c>
      <c r="K119">
        <v>63.85</v>
      </c>
      <c r="L119">
        <v>0</v>
      </c>
      <c r="M119">
        <v>0</v>
      </c>
      <c r="N119">
        <v>222</v>
      </c>
      <c r="O119">
        <v>272</v>
      </c>
    </row>
    <row r="120" spans="1:15" x14ac:dyDescent="0.3">
      <c r="A120" s="3" t="s">
        <v>146</v>
      </c>
      <c r="B120" s="3" t="s">
        <v>159</v>
      </c>
      <c r="C120">
        <v>9106</v>
      </c>
      <c r="D120">
        <v>284</v>
      </c>
      <c r="E120">
        <v>3164</v>
      </c>
      <c r="F120">
        <v>5658</v>
      </c>
      <c r="G120">
        <v>119</v>
      </c>
      <c r="H120">
        <v>5020</v>
      </c>
      <c r="I120">
        <v>519</v>
      </c>
      <c r="J120">
        <v>0</v>
      </c>
      <c r="K120">
        <v>62.13</v>
      </c>
      <c r="L120">
        <v>0</v>
      </c>
      <c r="M120">
        <v>0</v>
      </c>
      <c r="N120">
        <v>600</v>
      </c>
      <c r="O120">
        <v>282</v>
      </c>
    </row>
    <row r="121" spans="1:15" x14ac:dyDescent="0.3">
      <c r="A121" s="3" t="s">
        <v>146</v>
      </c>
      <c r="B121" s="3" t="s">
        <v>160</v>
      </c>
      <c r="C121">
        <v>12651</v>
      </c>
      <c r="D121">
        <v>784</v>
      </c>
      <c r="E121">
        <v>4112</v>
      </c>
      <c r="F121">
        <v>7755</v>
      </c>
      <c r="G121">
        <v>134</v>
      </c>
      <c r="H121">
        <v>4476</v>
      </c>
      <c r="I121">
        <v>3145</v>
      </c>
      <c r="J121">
        <v>0</v>
      </c>
      <c r="K121">
        <v>61.3</v>
      </c>
      <c r="L121">
        <v>0</v>
      </c>
      <c r="M121">
        <v>0</v>
      </c>
      <c r="N121">
        <v>908</v>
      </c>
      <c r="O121">
        <v>482</v>
      </c>
    </row>
    <row r="122" spans="1:15" x14ac:dyDescent="0.3">
      <c r="A122" s="3" t="s">
        <v>146</v>
      </c>
      <c r="B122" s="3" t="s">
        <v>161</v>
      </c>
      <c r="C122">
        <v>6066</v>
      </c>
      <c r="D122">
        <v>428</v>
      </c>
      <c r="E122">
        <v>2490</v>
      </c>
      <c r="F122">
        <v>3148</v>
      </c>
      <c r="G122">
        <v>58</v>
      </c>
      <c r="H122">
        <v>2678</v>
      </c>
      <c r="I122">
        <v>412</v>
      </c>
      <c r="J122">
        <v>0</v>
      </c>
      <c r="K122">
        <v>51.9</v>
      </c>
      <c r="L122">
        <v>0</v>
      </c>
      <c r="M122">
        <v>0</v>
      </c>
      <c r="N122">
        <v>327</v>
      </c>
      <c r="O122">
        <v>197</v>
      </c>
    </row>
    <row r="123" spans="1:15" x14ac:dyDescent="0.3">
      <c r="A123" s="3" t="s">
        <v>146</v>
      </c>
      <c r="B123" s="3" t="s">
        <v>162</v>
      </c>
      <c r="C123">
        <v>7497</v>
      </c>
      <c r="D123">
        <v>140</v>
      </c>
      <c r="E123">
        <v>3017</v>
      </c>
      <c r="F123">
        <v>4340</v>
      </c>
      <c r="G123">
        <v>72</v>
      </c>
      <c r="H123">
        <v>3876</v>
      </c>
      <c r="I123">
        <v>392</v>
      </c>
      <c r="J123">
        <v>0</v>
      </c>
      <c r="K123">
        <v>57.89</v>
      </c>
      <c r="L123">
        <v>0</v>
      </c>
      <c r="M123">
        <v>0</v>
      </c>
      <c r="N123">
        <v>365</v>
      </c>
      <c r="O123">
        <v>173</v>
      </c>
    </row>
    <row r="124" spans="1:15" x14ac:dyDescent="0.3">
      <c r="A124" s="3" t="s">
        <v>146</v>
      </c>
      <c r="B124" s="3" t="s">
        <v>163</v>
      </c>
      <c r="C124">
        <v>13274</v>
      </c>
      <c r="D124">
        <v>854</v>
      </c>
      <c r="E124">
        <v>5096</v>
      </c>
      <c r="F124">
        <v>7324</v>
      </c>
      <c r="G124">
        <v>307</v>
      </c>
      <c r="H124">
        <v>4219</v>
      </c>
      <c r="I124">
        <v>2798</v>
      </c>
      <c r="J124">
        <v>0</v>
      </c>
      <c r="K124">
        <v>55.18</v>
      </c>
      <c r="L124">
        <v>0</v>
      </c>
      <c r="M124">
        <v>0</v>
      </c>
      <c r="N124">
        <v>732</v>
      </c>
      <c r="O124">
        <v>457</v>
      </c>
    </row>
    <row r="125" spans="1:15" x14ac:dyDescent="0.3">
      <c r="A125" s="3" t="s">
        <v>146</v>
      </c>
      <c r="B125" s="3" t="s">
        <v>164</v>
      </c>
      <c r="C125">
        <v>10761</v>
      </c>
      <c r="D125">
        <v>108</v>
      </c>
      <c r="E125">
        <v>4753</v>
      </c>
      <c r="F125">
        <v>5900</v>
      </c>
      <c r="G125">
        <v>183</v>
      </c>
      <c r="H125">
        <v>5605</v>
      </c>
      <c r="I125">
        <v>112</v>
      </c>
      <c r="J125">
        <v>0</v>
      </c>
      <c r="K125">
        <v>54.83</v>
      </c>
      <c r="L125">
        <v>0</v>
      </c>
      <c r="M125">
        <v>0</v>
      </c>
      <c r="N125">
        <v>630</v>
      </c>
      <c r="O125">
        <v>317</v>
      </c>
    </row>
    <row r="126" spans="1:15" x14ac:dyDescent="0.3">
      <c r="A126" s="3" t="s">
        <v>146</v>
      </c>
      <c r="B126" s="3" t="s">
        <v>165</v>
      </c>
      <c r="C126">
        <v>9629</v>
      </c>
      <c r="D126">
        <v>99</v>
      </c>
      <c r="E126">
        <v>3961</v>
      </c>
      <c r="F126">
        <v>5569</v>
      </c>
      <c r="G126">
        <v>699</v>
      </c>
      <c r="H126">
        <v>3090</v>
      </c>
      <c r="I126">
        <v>1780</v>
      </c>
      <c r="J126">
        <v>0</v>
      </c>
      <c r="K126">
        <v>57.84</v>
      </c>
      <c r="L126">
        <v>0</v>
      </c>
      <c r="M126">
        <v>0</v>
      </c>
      <c r="N126">
        <v>340</v>
      </c>
      <c r="O126">
        <v>156</v>
      </c>
    </row>
    <row r="127" spans="1:15" x14ac:dyDescent="0.3">
      <c r="A127" s="3" t="s">
        <v>146</v>
      </c>
      <c r="B127" s="3" t="s">
        <v>166</v>
      </c>
      <c r="C127">
        <v>9612</v>
      </c>
      <c r="D127">
        <v>257</v>
      </c>
      <c r="E127">
        <v>3242</v>
      </c>
      <c r="F127">
        <v>6113</v>
      </c>
      <c r="G127">
        <v>15</v>
      </c>
      <c r="H127">
        <v>4240</v>
      </c>
      <c r="I127">
        <v>1858</v>
      </c>
      <c r="J127">
        <v>0</v>
      </c>
      <c r="K127">
        <v>63.6</v>
      </c>
      <c r="L127">
        <v>0</v>
      </c>
      <c r="M127">
        <v>0</v>
      </c>
      <c r="N127">
        <v>609</v>
      </c>
      <c r="O127">
        <v>414</v>
      </c>
    </row>
    <row r="128" spans="1:15" x14ac:dyDescent="0.3">
      <c r="A128" s="3" t="s">
        <v>146</v>
      </c>
      <c r="B128" s="3" t="s">
        <v>167</v>
      </c>
      <c r="C128">
        <v>6354</v>
      </c>
      <c r="D128">
        <v>364</v>
      </c>
      <c r="E128">
        <v>2677</v>
      </c>
      <c r="F128">
        <v>3313</v>
      </c>
      <c r="G128">
        <v>326</v>
      </c>
      <c r="H128">
        <v>2133</v>
      </c>
      <c r="I128">
        <v>854</v>
      </c>
      <c r="J128">
        <v>0</v>
      </c>
      <c r="K128">
        <v>52.14</v>
      </c>
      <c r="L128">
        <v>0</v>
      </c>
      <c r="M128">
        <v>0</v>
      </c>
      <c r="N128">
        <v>174</v>
      </c>
      <c r="O128">
        <v>115</v>
      </c>
    </row>
    <row r="129" spans="1:15" x14ac:dyDescent="0.3">
      <c r="A129" s="3" t="s">
        <v>146</v>
      </c>
      <c r="B129" s="3" t="s">
        <v>168</v>
      </c>
      <c r="C129">
        <v>7390</v>
      </c>
      <c r="D129">
        <v>234</v>
      </c>
      <c r="E129">
        <v>2647</v>
      </c>
      <c r="F129">
        <v>4509</v>
      </c>
      <c r="G129">
        <v>270</v>
      </c>
      <c r="H129">
        <v>2196</v>
      </c>
      <c r="I129">
        <v>2043</v>
      </c>
      <c r="J129">
        <v>0</v>
      </c>
      <c r="K129">
        <v>61.01</v>
      </c>
      <c r="L129">
        <v>0</v>
      </c>
      <c r="M129">
        <v>0</v>
      </c>
      <c r="N129">
        <v>504</v>
      </c>
      <c r="O129">
        <v>228</v>
      </c>
    </row>
    <row r="130" spans="1:15" x14ac:dyDescent="0.3">
      <c r="A130" s="3" t="s">
        <v>146</v>
      </c>
      <c r="B130" s="3" t="s">
        <v>169</v>
      </c>
      <c r="C130">
        <v>8620</v>
      </c>
      <c r="D130">
        <v>88</v>
      </c>
      <c r="E130">
        <v>3027</v>
      </c>
      <c r="F130">
        <v>5505</v>
      </c>
      <c r="G130">
        <v>247</v>
      </c>
      <c r="H130">
        <v>4533</v>
      </c>
      <c r="I130">
        <v>725</v>
      </c>
      <c r="J130">
        <v>0</v>
      </c>
      <c r="K130">
        <v>63.86</v>
      </c>
      <c r="L130">
        <v>0</v>
      </c>
      <c r="M130">
        <v>0</v>
      </c>
      <c r="N130">
        <v>526</v>
      </c>
      <c r="O130">
        <v>388</v>
      </c>
    </row>
    <row r="131" spans="1:15" x14ac:dyDescent="0.3">
      <c r="A131" s="3" t="s">
        <v>170</v>
      </c>
      <c r="B131" s="3" t="s">
        <v>37</v>
      </c>
      <c r="C131">
        <v>14</v>
      </c>
      <c r="D131">
        <v>8</v>
      </c>
      <c r="E131">
        <v>3</v>
      </c>
      <c r="F131">
        <v>3</v>
      </c>
      <c r="G131">
        <v>0</v>
      </c>
      <c r="H131">
        <v>0</v>
      </c>
      <c r="I131">
        <v>0</v>
      </c>
      <c r="J131">
        <v>3</v>
      </c>
      <c r="K131">
        <v>21.43</v>
      </c>
      <c r="L131">
        <v>0</v>
      </c>
      <c r="M131">
        <v>0</v>
      </c>
      <c r="N131">
        <v>0</v>
      </c>
      <c r="O131">
        <v>0</v>
      </c>
    </row>
    <row r="132" spans="1:15" x14ac:dyDescent="0.3">
      <c r="A132" s="3" t="s">
        <v>170</v>
      </c>
      <c r="B132" s="3" t="s">
        <v>171</v>
      </c>
      <c r="C132">
        <v>5607</v>
      </c>
      <c r="D132">
        <v>183</v>
      </c>
      <c r="E132">
        <v>1944</v>
      </c>
      <c r="F132">
        <v>3480</v>
      </c>
      <c r="G132">
        <v>429</v>
      </c>
      <c r="H132">
        <v>1904</v>
      </c>
      <c r="I132">
        <v>1147</v>
      </c>
      <c r="J132">
        <v>0</v>
      </c>
      <c r="K132">
        <v>62.07</v>
      </c>
      <c r="L132">
        <v>0</v>
      </c>
      <c r="M132">
        <v>0</v>
      </c>
      <c r="N132">
        <v>387</v>
      </c>
      <c r="O132">
        <v>208</v>
      </c>
    </row>
    <row r="133" spans="1:15" x14ac:dyDescent="0.3">
      <c r="A133" s="3" t="s">
        <v>170</v>
      </c>
      <c r="B133" s="3" t="s">
        <v>172</v>
      </c>
      <c r="C133">
        <v>5857</v>
      </c>
      <c r="D133">
        <v>107</v>
      </c>
      <c r="E133">
        <v>1956</v>
      </c>
      <c r="F133">
        <v>3794</v>
      </c>
      <c r="G133">
        <v>66</v>
      </c>
      <c r="H133">
        <v>3062</v>
      </c>
      <c r="I133">
        <v>666</v>
      </c>
      <c r="J133">
        <v>0</v>
      </c>
      <c r="K133">
        <v>64.78</v>
      </c>
      <c r="L133">
        <v>0</v>
      </c>
      <c r="M133">
        <v>0</v>
      </c>
      <c r="N133">
        <v>407</v>
      </c>
      <c r="O133">
        <v>215</v>
      </c>
    </row>
    <row r="134" spans="1:15" x14ac:dyDescent="0.3">
      <c r="A134" s="3" t="s">
        <v>170</v>
      </c>
      <c r="B134" s="3" t="s">
        <v>173</v>
      </c>
      <c r="C134">
        <v>7862</v>
      </c>
      <c r="D134">
        <v>45</v>
      </c>
      <c r="E134">
        <v>2765</v>
      </c>
      <c r="F134">
        <v>5052</v>
      </c>
      <c r="G134">
        <v>58</v>
      </c>
      <c r="H134">
        <v>4163</v>
      </c>
      <c r="I134">
        <v>830</v>
      </c>
      <c r="J134">
        <v>1</v>
      </c>
      <c r="K134">
        <v>64.260000000000005</v>
      </c>
      <c r="L134">
        <v>0</v>
      </c>
      <c r="M134">
        <v>0</v>
      </c>
      <c r="N134">
        <v>629</v>
      </c>
      <c r="O134">
        <v>255</v>
      </c>
    </row>
    <row r="135" spans="1:15" x14ac:dyDescent="0.3">
      <c r="A135" s="3" t="s">
        <v>170</v>
      </c>
      <c r="B135" s="3" t="s">
        <v>174</v>
      </c>
      <c r="C135">
        <v>11518</v>
      </c>
      <c r="D135">
        <v>91</v>
      </c>
      <c r="E135">
        <v>3717</v>
      </c>
      <c r="F135">
        <v>7710</v>
      </c>
      <c r="G135">
        <v>363</v>
      </c>
      <c r="H135">
        <v>6487</v>
      </c>
      <c r="I135">
        <v>860</v>
      </c>
      <c r="J135">
        <v>0</v>
      </c>
      <c r="K135">
        <v>66.94</v>
      </c>
      <c r="L135">
        <v>0</v>
      </c>
      <c r="M135">
        <v>0</v>
      </c>
      <c r="N135">
        <v>692</v>
      </c>
      <c r="O135">
        <v>206</v>
      </c>
    </row>
    <row r="136" spans="1:15" x14ac:dyDescent="0.3">
      <c r="A136" s="3" t="s">
        <v>170</v>
      </c>
      <c r="B136" s="3" t="s">
        <v>175</v>
      </c>
      <c r="C136">
        <v>9386</v>
      </c>
      <c r="D136">
        <v>419</v>
      </c>
      <c r="E136">
        <v>3284</v>
      </c>
      <c r="F136">
        <v>5683</v>
      </c>
      <c r="G136">
        <v>837</v>
      </c>
      <c r="H136">
        <v>3739</v>
      </c>
      <c r="I136">
        <v>1105</v>
      </c>
      <c r="J136">
        <v>2</v>
      </c>
      <c r="K136">
        <v>60.55</v>
      </c>
      <c r="L136">
        <v>0</v>
      </c>
      <c r="M136">
        <v>0</v>
      </c>
      <c r="N136">
        <v>591</v>
      </c>
      <c r="O136">
        <v>402</v>
      </c>
    </row>
    <row r="137" spans="1:15" x14ac:dyDescent="0.3">
      <c r="A137" s="3" t="s">
        <v>170</v>
      </c>
      <c r="B137" s="3" t="s">
        <v>176</v>
      </c>
      <c r="C137">
        <v>12849</v>
      </c>
      <c r="D137">
        <v>145</v>
      </c>
      <c r="E137">
        <v>5282</v>
      </c>
      <c r="F137">
        <v>7422</v>
      </c>
      <c r="G137">
        <v>903</v>
      </c>
      <c r="H137">
        <v>5275</v>
      </c>
      <c r="I137">
        <v>1242</v>
      </c>
      <c r="J137">
        <v>2</v>
      </c>
      <c r="K137">
        <v>57.76</v>
      </c>
      <c r="L137">
        <v>0</v>
      </c>
      <c r="M137">
        <v>0</v>
      </c>
      <c r="N137">
        <v>647</v>
      </c>
      <c r="O137">
        <v>664</v>
      </c>
    </row>
    <row r="138" spans="1:15" x14ac:dyDescent="0.3">
      <c r="A138" s="3" t="s">
        <v>170</v>
      </c>
      <c r="B138" s="3" t="s">
        <v>177</v>
      </c>
      <c r="C138">
        <v>2893</v>
      </c>
      <c r="D138">
        <v>86</v>
      </c>
      <c r="E138">
        <v>1448</v>
      </c>
      <c r="F138">
        <v>1359</v>
      </c>
      <c r="G138">
        <v>309</v>
      </c>
      <c r="H138">
        <v>711</v>
      </c>
      <c r="I138">
        <v>339</v>
      </c>
      <c r="J138">
        <v>0</v>
      </c>
      <c r="K138">
        <v>46.98</v>
      </c>
      <c r="L138">
        <v>0</v>
      </c>
      <c r="M138">
        <v>0</v>
      </c>
      <c r="N138">
        <v>216</v>
      </c>
      <c r="O138">
        <v>165</v>
      </c>
    </row>
    <row r="139" spans="1:15" x14ac:dyDescent="0.3">
      <c r="A139" s="3" t="s">
        <v>170</v>
      </c>
      <c r="B139" s="3" t="s">
        <v>178</v>
      </c>
      <c r="C139">
        <v>2066</v>
      </c>
      <c r="D139">
        <v>2</v>
      </c>
      <c r="E139">
        <v>714</v>
      </c>
      <c r="F139">
        <v>1350</v>
      </c>
      <c r="G139">
        <v>150</v>
      </c>
      <c r="H139">
        <v>518</v>
      </c>
      <c r="I139">
        <v>682</v>
      </c>
      <c r="J139">
        <v>0</v>
      </c>
      <c r="K139">
        <v>65.34</v>
      </c>
      <c r="L139">
        <v>0</v>
      </c>
      <c r="M139">
        <v>0</v>
      </c>
      <c r="N139">
        <v>117</v>
      </c>
      <c r="O139">
        <v>53</v>
      </c>
    </row>
    <row r="140" spans="1:15" x14ac:dyDescent="0.3">
      <c r="A140" s="3" t="s">
        <v>170</v>
      </c>
      <c r="B140" s="3" t="s">
        <v>179</v>
      </c>
      <c r="C140">
        <v>3618</v>
      </c>
      <c r="D140">
        <v>131</v>
      </c>
      <c r="E140">
        <v>1391</v>
      </c>
      <c r="F140">
        <v>2096</v>
      </c>
      <c r="G140">
        <v>65</v>
      </c>
      <c r="H140">
        <v>1424</v>
      </c>
      <c r="I140">
        <v>607</v>
      </c>
      <c r="J140">
        <v>0</v>
      </c>
      <c r="K140">
        <v>57.93</v>
      </c>
      <c r="L140">
        <v>0</v>
      </c>
      <c r="M140">
        <v>0</v>
      </c>
      <c r="N140">
        <v>255</v>
      </c>
      <c r="O140">
        <v>74</v>
      </c>
    </row>
    <row r="141" spans="1:15" x14ac:dyDescent="0.3">
      <c r="A141" s="3" t="s">
        <v>170</v>
      </c>
      <c r="B141" s="3" t="s">
        <v>180</v>
      </c>
      <c r="C141">
        <v>1826</v>
      </c>
      <c r="D141">
        <v>143</v>
      </c>
      <c r="E141">
        <v>635</v>
      </c>
      <c r="F141">
        <v>1048</v>
      </c>
      <c r="G141">
        <v>71</v>
      </c>
      <c r="H141">
        <v>703</v>
      </c>
      <c r="I141">
        <v>274</v>
      </c>
      <c r="J141">
        <v>0</v>
      </c>
      <c r="K141">
        <v>57.39</v>
      </c>
      <c r="L141">
        <v>0</v>
      </c>
      <c r="M141">
        <v>0</v>
      </c>
      <c r="N141">
        <v>138</v>
      </c>
      <c r="O141">
        <v>84</v>
      </c>
    </row>
    <row r="142" spans="1:15" x14ac:dyDescent="0.3">
      <c r="A142" s="3" t="s">
        <v>170</v>
      </c>
      <c r="B142" s="3" t="s">
        <v>181</v>
      </c>
      <c r="C142">
        <v>1535</v>
      </c>
      <c r="D142">
        <v>13</v>
      </c>
      <c r="E142">
        <v>506</v>
      </c>
      <c r="F142">
        <v>1016</v>
      </c>
      <c r="G142">
        <v>60</v>
      </c>
      <c r="H142">
        <v>514</v>
      </c>
      <c r="I142">
        <v>442</v>
      </c>
      <c r="J142">
        <v>0</v>
      </c>
      <c r="K142">
        <v>66.19</v>
      </c>
      <c r="L142">
        <v>0</v>
      </c>
      <c r="M142">
        <v>0</v>
      </c>
      <c r="N142">
        <v>88</v>
      </c>
      <c r="O142">
        <v>33</v>
      </c>
    </row>
    <row r="143" spans="1:15" x14ac:dyDescent="0.3">
      <c r="A143" s="3" t="s">
        <v>170</v>
      </c>
      <c r="B143" s="3" t="s">
        <v>182</v>
      </c>
      <c r="C143">
        <v>2007</v>
      </c>
      <c r="D143">
        <v>30</v>
      </c>
      <c r="E143">
        <v>867</v>
      </c>
      <c r="F143">
        <v>1110</v>
      </c>
      <c r="G143">
        <v>232</v>
      </c>
      <c r="H143">
        <v>603</v>
      </c>
      <c r="I143">
        <v>275</v>
      </c>
      <c r="J143">
        <v>0</v>
      </c>
      <c r="K143">
        <v>55.31</v>
      </c>
      <c r="L143">
        <v>0</v>
      </c>
      <c r="M143">
        <v>0</v>
      </c>
      <c r="N143">
        <v>49</v>
      </c>
      <c r="O143">
        <v>88</v>
      </c>
    </row>
    <row r="144" spans="1:15" x14ac:dyDescent="0.3">
      <c r="A144" s="3" t="s">
        <v>183</v>
      </c>
      <c r="B144" s="3" t="s">
        <v>37</v>
      </c>
      <c r="C144">
        <v>15</v>
      </c>
      <c r="D144">
        <v>0</v>
      </c>
      <c r="E144">
        <v>0</v>
      </c>
      <c r="F144">
        <v>15</v>
      </c>
      <c r="G144">
        <v>0</v>
      </c>
      <c r="H144">
        <v>0</v>
      </c>
      <c r="I144">
        <v>9</v>
      </c>
      <c r="J144">
        <v>6</v>
      </c>
      <c r="K144">
        <v>100</v>
      </c>
      <c r="L144">
        <v>0</v>
      </c>
      <c r="M144">
        <v>0</v>
      </c>
      <c r="N144">
        <v>15</v>
      </c>
      <c r="O144">
        <v>0</v>
      </c>
    </row>
    <row r="145" spans="1:15" x14ac:dyDescent="0.3">
      <c r="A145" s="3" t="s">
        <v>183</v>
      </c>
      <c r="B145" s="3" t="s">
        <v>184</v>
      </c>
      <c r="C145">
        <v>3554</v>
      </c>
      <c r="D145">
        <v>0</v>
      </c>
      <c r="E145">
        <v>1242</v>
      </c>
      <c r="F145">
        <v>2312</v>
      </c>
      <c r="G145">
        <v>15</v>
      </c>
      <c r="H145">
        <v>1728</v>
      </c>
      <c r="I145">
        <v>569</v>
      </c>
      <c r="J145">
        <v>0</v>
      </c>
      <c r="K145">
        <v>65.05</v>
      </c>
      <c r="L145">
        <v>0</v>
      </c>
      <c r="M145">
        <v>0</v>
      </c>
      <c r="N145">
        <v>135</v>
      </c>
      <c r="O145">
        <v>32</v>
      </c>
    </row>
    <row r="146" spans="1:15" x14ac:dyDescent="0.3">
      <c r="A146" s="3" t="s">
        <v>183</v>
      </c>
      <c r="B146" s="3" t="s">
        <v>185</v>
      </c>
      <c r="C146">
        <v>3799</v>
      </c>
      <c r="D146">
        <v>12</v>
      </c>
      <c r="E146">
        <v>1896</v>
      </c>
      <c r="F146">
        <v>1891</v>
      </c>
      <c r="G146">
        <v>20</v>
      </c>
      <c r="H146">
        <v>1334</v>
      </c>
      <c r="I146">
        <v>537</v>
      </c>
      <c r="J146">
        <v>0</v>
      </c>
      <c r="K146">
        <v>49.78</v>
      </c>
      <c r="L146">
        <v>0</v>
      </c>
      <c r="M146">
        <v>0</v>
      </c>
      <c r="N146">
        <v>180</v>
      </c>
      <c r="O146">
        <v>54</v>
      </c>
    </row>
    <row r="147" spans="1:15" x14ac:dyDescent="0.3">
      <c r="A147" s="3" t="s">
        <v>183</v>
      </c>
      <c r="B147" s="3" t="s">
        <v>186</v>
      </c>
      <c r="C147">
        <v>6580</v>
      </c>
      <c r="D147">
        <v>13</v>
      </c>
      <c r="E147">
        <v>3251</v>
      </c>
      <c r="F147">
        <v>3316</v>
      </c>
      <c r="G147">
        <v>249</v>
      </c>
      <c r="H147">
        <v>3015</v>
      </c>
      <c r="I147">
        <v>52</v>
      </c>
      <c r="J147">
        <v>0</v>
      </c>
      <c r="K147">
        <v>50.4</v>
      </c>
      <c r="L147">
        <v>0</v>
      </c>
      <c r="M147">
        <v>0</v>
      </c>
      <c r="N147">
        <v>197</v>
      </c>
      <c r="O147">
        <v>104</v>
      </c>
    </row>
    <row r="148" spans="1:15" x14ac:dyDescent="0.3">
      <c r="A148" s="3" t="s">
        <v>183</v>
      </c>
      <c r="B148" s="3" t="s">
        <v>187</v>
      </c>
      <c r="C148">
        <v>2146</v>
      </c>
      <c r="D148">
        <v>3</v>
      </c>
      <c r="E148">
        <v>1109</v>
      </c>
      <c r="F148">
        <v>1034</v>
      </c>
      <c r="G148">
        <v>18</v>
      </c>
      <c r="H148">
        <v>977</v>
      </c>
      <c r="I148">
        <v>39</v>
      </c>
      <c r="J148">
        <v>0</v>
      </c>
      <c r="K148">
        <v>48.18</v>
      </c>
      <c r="L148">
        <v>0</v>
      </c>
      <c r="M148">
        <v>0</v>
      </c>
      <c r="N148">
        <v>112</v>
      </c>
      <c r="O148">
        <v>12</v>
      </c>
    </row>
    <row r="149" spans="1:15" x14ac:dyDescent="0.3">
      <c r="A149" s="3" t="s">
        <v>183</v>
      </c>
      <c r="B149" s="3" t="s">
        <v>188</v>
      </c>
      <c r="C149">
        <v>2494</v>
      </c>
      <c r="D149">
        <v>13</v>
      </c>
      <c r="E149">
        <v>876</v>
      </c>
      <c r="F149">
        <v>1605</v>
      </c>
      <c r="G149">
        <v>3</v>
      </c>
      <c r="H149">
        <v>1489</v>
      </c>
      <c r="I149">
        <v>113</v>
      </c>
      <c r="J149">
        <v>0</v>
      </c>
      <c r="K149">
        <v>64.349999999999994</v>
      </c>
      <c r="L149">
        <v>0</v>
      </c>
      <c r="M149">
        <v>0</v>
      </c>
      <c r="N149">
        <v>106</v>
      </c>
      <c r="O149">
        <v>59</v>
      </c>
    </row>
    <row r="150" spans="1:15" x14ac:dyDescent="0.3">
      <c r="A150" s="3" t="s">
        <v>183</v>
      </c>
      <c r="B150" s="3" t="s">
        <v>189</v>
      </c>
      <c r="C150">
        <v>12676</v>
      </c>
      <c r="D150">
        <v>344</v>
      </c>
      <c r="E150">
        <v>5848</v>
      </c>
      <c r="F150">
        <v>6484</v>
      </c>
      <c r="G150">
        <v>128</v>
      </c>
      <c r="H150">
        <v>5988</v>
      </c>
      <c r="I150">
        <v>368</v>
      </c>
      <c r="J150">
        <v>0</v>
      </c>
      <c r="K150">
        <v>51.15</v>
      </c>
      <c r="L150">
        <v>0</v>
      </c>
      <c r="M150">
        <v>0</v>
      </c>
      <c r="N150">
        <v>468</v>
      </c>
      <c r="O150">
        <v>281</v>
      </c>
    </row>
    <row r="151" spans="1:15" x14ac:dyDescent="0.3">
      <c r="A151" s="3" t="s">
        <v>183</v>
      </c>
      <c r="B151" s="3" t="s">
        <v>190</v>
      </c>
      <c r="C151">
        <v>6388</v>
      </c>
      <c r="D151">
        <v>163</v>
      </c>
      <c r="E151">
        <v>2183</v>
      </c>
      <c r="F151">
        <v>4042</v>
      </c>
      <c r="G151">
        <v>283</v>
      </c>
      <c r="H151">
        <v>2574</v>
      </c>
      <c r="I151">
        <v>1185</v>
      </c>
      <c r="J151">
        <v>0</v>
      </c>
      <c r="K151">
        <v>63.27</v>
      </c>
      <c r="L151">
        <v>0</v>
      </c>
      <c r="M151">
        <v>0</v>
      </c>
      <c r="N151">
        <v>211</v>
      </c>
      <c r="O151">
        <v>162</v>
      </c>
    </row>
    <row r="152" spans="1:15" x14ac:dyDescent="0.3">
      <c r="A152" s="3" t="s">
        <v>183</v>
      </c>
      <c r="B152" s="3" t="s">
        <v>191</v>
      </c>
      <c r="C152">
        <v>7863</v>
      </c>
      <c r="D152">
        <v>144</v>
      </c>
      <c r="E152">
        <v>2746</v>
      </c>
      <c r="F152">
        <v>4973</v>
      </c>
      <c r="G152">
        <v>108</v>
      </c>
      <c r="H152">
        <v>3383</v>
      </c>
      <c r="I152">
        <v>1482</v>
      </c>
      <c r="J152">
        <v>0</v>
      </c>
      <c r="K152">
        <v>63.25</v>
      </c>
      <c r="L152">
        <v>0</v>
      </c>
      <c r="M152">
        <v>0</v>
      </c>
      <c r="N152">
        <v>373</v>
      </c>
      <c r="O152">
        <v>258</v>
      </c>
    </row>
    <row r="153" spans="1:15" x14ac:dyDescent="0.3">
      <c r="A153" s="3" t="s">
        <v>183</v>
      </c>
      <c r="B153" s="3" t="s">
        <v>192</v>
      </c>
      <c r="C153">
        <v>7654</v>
      </c>
      <c r="D153">
        <v>304</v>
      </c>
      <c r="E153">
        <v>2502</v>
      </c>
      <c r="F153">
        <v>4848</v>
      </c>
      <c r="G153">
        <v>67</v>
      </c>
      <c r="H153">
        <v>4184</v>
      </c>
      <c r="I153">
        <v>597</v>
      </c>
      <c r="J153">
        <v>0</v>
      </c>
      <c r="K153">
        <v>63.34</v>
      </c>
      <c r="L153">
        <v>0</v>
      </c>
      <c r="M153">
        <v>0</v>
      </c>
      <c r="N153">
        <v>432</v>
      </c>
      <c r="O153">
        <v>291</v>
      </c>
    </row>
    <row r="154" spans="1:15" x14ac:dyDescent="0.3">
      <c r="A154" s="3" t="s">
        <v>183</v>
      </c>
      <c r="B154" s="3" t="s">
        <v>193</v>
      </c>
      <c r="C154">
        <v>4781</v>
      </c>
      <c r="D154">
        <v>87</v>
      </c>
      <c r="E154">
        <v>1364</v>
      </c>
      <c r="F154">
        <v>3330</v>
      </c>
      <c r="G154">
        <v>17</v>
      </c>
      <c r="H154">
        <v>2409</v>
      </c>
      <c r="I154">
        <v>904</v>
      </c>
      <c r="J154">
        <v>0</v>
      </c>
      <c r="K154">
        <v>69.650000000000006</v>
      </c>
      <c r="L154">
        <v>0</v>
      </c>
      <c r="M154">
        <v>0</v>
      </c>
      <c r="N154">
        <v>193</v>
      </c>
      <c r="O154">
        <v>100</v>
      </c>
    </row>
    <row r="155" spans="1:15" x14ac:dyDescent="0.3">
      <c r="A155" s="3" t="s">
        <v>183</v>
      </c>
      <c r="B155" s="3" t="s">
        <v>194</v>
      </c>
      <c r="C155">
        <v>10639</v>
      </c>
      <c r="D155">
        <v>185</v>
      </c>
      <c r="E155">
        <v>4682</v>
      </c>
      <c r="F155">
        <v>5772</v>
      </c>
      <c r="G155">
        <v>315</v>
      </c>
      <c r="H155">
        <v>4072</v>
      </c>
      <c r="I155">
        <v>1385</v>
      </c>
      <c r="J155">
        <v>0</v>
      </c>
      <c r="K155">
        <v>54.25</v>
      </c>
      <c r="L155">
        <v>0</v>
      </c>
      <c r="M155">
        <v>0</v>
      </c>
      <c r="N155">
        <v>372</v>
      </c>
      <c r="O155">
        <v>266</v>
      </c>
    </row>
    <row r="156" spans="1:15" x14ac:dyDescent="0.3">
      <c r="A156" s="3" t="s">
        <v>183</v>
      </c>
      <c r="B156" s="3" t="s">
        <v>195</v>
      </c>
      <c r="C156">
        <v>21967</v>
      </c>
      <c r="D156">
        <v>394</v>
      </c>
      <c r="E156">
        <v>9252</v>
      </c>
      <c r="F156">
        <v>12321</v>
      </c>
      <c r="G156">
        <v>186</v>
      </c>
      <c r="H156">
        <v>10527</v>
      </c>
      <c r="I156">
        <v>1608</v>
      </c>
      <c r="J156">
        <v>0</v>
      </c>
      <c r="K156">
        <v>56.09</v>
      </c>
      <c r="L156">
        <v>0</v>
      </c>
      <c r="M156">
        <v>0</v>
      </c>
      <c r="N156">
        <v>1298</v>
      </c>
      <c r="O156">
        <v>560</v>
      </c>
    </row>
    <row r="157" spans="1:15" x14ac:dyDescent="0.3">
      <c r="A157" s="3" t="s">
        <v>183</v>
      </c>
      <c r="B157" s="3" t="s">
        <v>196</v>
      </c>
      <c r="C157">
        <v>7948</v>
      </c>
      <c r="D157">
        <v>343</v>
      </c>
      <c r="E157">
        <v>3264</v>
      </c>
      <c r="F157">
        <v>4341</v>
      </c>
      <c r="G157">
        <v>27</v>
      </c>
      <c r="H157">
        <v>4156</v>
      </c>
      <c r="I157">
        <v>158</v>
      </c>
      <c r="J157">
        <v>0</v>
      </c>
      <c r="K157">
        <v>54.62</v>
      </c>
      <c r="L157">
        <v>0</v>
      </c>
      <c r="M157">
        <v>0</v>
      </c>
      <c r="N157">
        <v>397</v>
      </c>
      <c r="O157">
        <v>316</v>
      </c>
    </row>
    <row r="158" spans="1:15" x14ac:dyDescent="0.3">
      <c r="A158" s="3" t="s">
        <v>183</v>
      </c>
      <c r="B158" s="3" t="s">
        <v>197</v>
      </c>
      <c r="C158">
        <v>14028</v>
      </c>
      <c r="D158">
        <v>211</v>
      </c>
      <c r="E158">
        <v>6556</v>
      </c>
      <c r="F158">
        <v>7261</v>
      </c>
      <c r="G158">
        <v>197</v>
      </c>
      <c r="H158">
        <v>6657</v>
      </c>
      <c r="I158">
        <v>405</v>
      </c>
      <c r="J158">
        <v>2</v>
      </c>
      <c r="K158">
        <v>51.76</v>
      </c>
      <c r="L158">
        <v>0</v>
      </c>
      <c r="M158">
        <v>0</v>
      </c>
      <c r="N158">
        <v>655</v>
      </c>
      <c r="O158">
        <v>615</v>
      </c>
    </row>
    <row r="159" spans="1:15" x14ac:dyDescent="0.3">
      <c r="A159" s="3" t="s">
        <v>183</v>
      </c>
      <c r="B159" s="3" t="s">
        <v>198</v>
      </c>
      <c r="C159">
        <v>2491</v>
      </c>
      <c r="D159">
        <v>26</v>
      </c>
      <c r="E159">
        <v>946</v>
      </c>
      <c r="F159">
        <v>1519</v>
      </c>
      <c r="G159">
        <v>2</v>
      </c>
      <c r="H159">
        <v>1503</v>
      </c>
      <c r="I159">
        <v>14</v>
      </c>
      <c r="J159">
        <v>0</v>
      </c>
      <c r="K159">
        <v>60.98</v>
      </c>
      <c r="L159">
        <v>0</v>
      </c>
      <c r="M159">
        <v>0</v>
      </c>
      <c r="N159">
        <v>144</v>
      </c>
      <c r="O159">
        <v>36</v>
      </c>
    </row>
    <row r="160" spans="1:15" x14ac:dyDescent="0.3">
      <c r="A160" s="3" t="s">
        <v>183</v>
      </c>
      <c r="B160" s="3" t="s">
        <v>199</v>
      </c>
      <c r="C160">
        <v>4704</v>
      </c>
      <c r="D160">
        <v>66</v>
      </c>
      <c r="E160">
        <v>1774</v>
      </c>
      <c r="F160">
        <v>2864</v>
      </c>
      <c r="G160">
        <v>155</v>
      </c>
      <c r="H160">
        <v>1917</v>
      </c>
      <c r="I160">
        <v>792</v>
      </c>
      <c r="J160">
        <v>0</v>
      </c>
      <c r="K160">
        <v>60.88</v>
      </c>
      <c r="L160">
        <v>0</v>
      </c>
      <c r="M160">
        <v>0</v>
      </c>
      <c r="N160">
        <v>144</v>
      </c>
      <c r="O160">
        <v>118</v>
      </c>
    </row>
    <row r="161" spans="1:15" x14ac:dyDescent="0.3">
      <c r="A161" s="3" t="s">
        <v>200</v>
      </c>
      <c r="B161" s="3" t="s">
        <v>37</v>
      </c>
      <c r="C161">
        <v>5</v>
      </c>
      <c r="D161">
        <v>1</v>
      </c>
      <c r="E161">
        <v>1</v>
      </c>
      <c r="F161">
        <v>3</v>
      </c>
      <c r="G161">
        <v>0</v>
      </c>
      <c r="H161">
        <v>0</v>
      </c>
      <c r="I161">
        <v>0</v>
      </c>
      <c r="J161">
        <v>3</v>
      </c>
      <c r="K161">
        <v>60</v>
      </c>
      <c r="L161">
        <v>0</v>
      </c>
      <c r="M161">
        <v>0</v>
      </c>
      <c r="N161">
        <v>2</v>
      </c>
      <c r="O161">
        <v>0</v>
      </c>
    </row>
    <row r="162" spans="1:15" x14ac:dyDescent="0.3">
      <c r="A162" s="3" t="s">
        <v>200</v>
      </c>
      <c r="B162" s="3" t="s">
        <v>201</v>
      </c>
      <c r="C162">
        <v>3786</v>
      </c>
      <c r="D162">
        <v>27</v>
      </c>
      <c r="E162">
        <v>1213</v>
      </c>
      <c r="F162">
        <v>2546</v>
      </c>
      <c r="G162">
        <v>24</v>
      </c>
      <c r="H162">
        <v>2296</v>
      </c>
      <c r="I162">
        <v>226</v>
      </c>
      <c r="J162">
        <v>0</v>
      </c>
      <c r="K162">
        <v>67.25</v>
      </c>
      <c r="L162">
        <v>0</v>
      </c>
      <c r="M162">
        <v>0</v>
      </c>
      <c r="N162">
        <v>232</v>
      </c>
      <c r="O162">
        <v>89</v>
      </c>
    </row>
    <row r="163" spans="1:15" x14ac:dyDescent="0.3">
      <c r="A163" s="3" t="s">
        <v>200</v>
      </c>
      <c r="B163" s="3" t="s">
        <v>202</v>
      </c>
      <c r="C163">
        <v>2317</v>
      </c>
      <c r="D163">
        <v>66</v>
      </c>
      <c r="E163">
        <v>980</v>
      </c>
      <c r="F163">
        <v>1271</v>
      </c>
      <c r="G163">
        <v>8</v>
      </c>
      <c r="H163">
        <v>1220</v>
      </c>
      <c r="I163">
        <v>43</v>
      </c>
      <c r="J163">
        <v>0</v>
      </c>
      <c r="K163">
        <v>54.86</v>
      </c>
      <c r="L163">
        <v>0</v>
      </c>
      <c r="M163">
        <v>0</v>
      </c>
      <c r="N163">
        <v>130</v>
      </c>
      <c r="O163">
        <v>48</v>
      </c>
    </row>
    <row r="164" spans="1:15" x14ac:dyDescent="0.3">
      <c r="A164" s="3" t="s">
        <v>200</v>
      </c>
      <c r="B164" s="3" t="s">
        <v>203</v>
      </c>
      <c r="C164">
        <v>3117</v>
      </c>
      <c r="D164">
        <v>81</v>
      </c>
      <c r="E164">
        <v>753</v>
      </c>
      <c r="F164">
        <v>2283</v>
      </c>
      <c r="G164">
        <v>17</v>
      </c>
      <c r="H164">
        <v>1637</v>
      </c>
      <c r="I164">
        <v>629</v>
      </c>
      <c r="J164">
        <v>0</v>
      </c>
      <c r="K164">
        <v>73.239999999999995</v>
      </c>
      <c r="L164">
        <v>0</v>
      </c>
      <c r="M164">
        <v>0</v>
      </c>
      <c r="N164">
        <v>171</v>
      </c>
      <c r="O164">
        <v>83</v>
      </c>
    </row>
    <row r="165" spans="1:15" x14ac:dyDescent="0.3">
      <c r="A165" s="3" t="s">
        <v>200</v>
      </c>
      <c r="B165" s="3" t="s">
        <v>204</v>
      </c>
      <c r="C165">
        <v>11598</v>
      </c>
      <c r="D165">
        <v>156</v>
      </c>
      <c r="E165">
        <v>3986</v>
      </c>
      <c r="F165">
        <v>7456</v>
      </c>
      <c r="G165">
        <v>37</v>
      </c>
      <c r="H165">
        <v>6676</v>
      </c>
      <c r="I165">
        <v>722</v>
      </c>
      <c r="J165">
        <v>21</v>
      </c>
      <c r="K165">
        <v>64.290000000000006</v>
      </c>
      <c r="L165">
        <v>0</v>
      </c>
      <c r="M165">
        <v>0</v>
      </c>
      <c r="N165">
        <v>370</v>
      </c>
      <c r="O165">
        <v>549</v>
      </c>
    </row>
    <row r="166" spans="1:15" x14ac:dyDescent="0.3">
      <c r="A166" s="3" t="s">
        <v>200</v>
      </c>
      <c r="B166" s="3" t="s">
        <v>205</v>
      </c>
      <c r="C166">
        <v>3781</v>
      </c>
      <c r="D166">
        <v>1</v>
      </c>
      <c r="E166">
        <v>1207</v>
      </c>
      <c r="F166">
        <v>2573</v>
      </c>
      <c r="G166">
        <v>9</v>
      </c>
      <c r="H166">
        <v>2346</v>
      </c>
      <c r="I166">
        <v>218</v>
      </c>
      <c r="J166">
        <v>0</v>
      </c>
      <c r="K166">
        <v>68.05</v>
      </c>
      <c r="L166">
        <v>0</v>
      </c>
      <c r="M166">
        <v>0</v>
      </c>
      <c r="N166">
        <v>142</v>
      </c>
      <c r="O166">
        <v>168</v>
      </c>
    </row>
    <row r="167" spans="1:15" x14ac:dyDescent="0.3">
      <c r="A167" s="3" t="s">
        <v>200</v>
      </c>
      <c r="B167" s="3" t="s">
        <v>206</v>
      </c>
      <c r="C167">
        <v>2459</v>
      </c>
      <c r="D167">
        <v>3</v>
      </c>
      <c r="E167">
        <v>800</v>
      </c>
      <c r="F167">
        <v>1656</v>
      </c>
      <c r="G167">
        <v>13</v>
      </c>
      <c r="H167">
        <v>1448</v>
      </c>
      <c r="I167">
        <v>195</v>
      </c>
      <c r="J167">
        <v>0</v>
      </c>
      <c r="K167">
        <v>67.34</v>
      </c>
      <c r="L167">
        <v>0</v>
      </c>
      <c r="M167">
        <v>0</v>
      </c>
      <c r="N167">
        <v>68</v>
      </c>
      <c r="O167">
        <v>106</v>
      </c>
    </row>
    <row r="168" spans="1:15" x14ac:dyDescent="0.3">
      <c r="A168" s="3" t="s">
        <v>200</v>
      </c>
      <c r="B168" s="3" t="s">
        <v>207</v>
      </c>
      <c r="C168">
        <v>4746</v>
      </c>
      <c r="D168">
        <v>101</v>
      </c>
      <c r="E168">
        <v>2091</v>
      </c>
      <c r="F168">
        <v>2554</v>
      </c>
      <c r="G168">
        <v>13</v>
      </c>
      <c r="H168">
        <v>2468</v>
      </c>
      <c r="I168">
        <v>73</v>
      </c>
      <c r="J168">
        <v>0</v>
      </c>
      <c r="K168">
        <v>53.81</v>
      </c>
      <c r="L168">
        <v>0</v>
      </c>
      <c r="M168">
        <v>0</v>
      </c>
      <c r="N168">
        <v>261</v>
      </c>
      <c r="O168">
        <v>163</v>
      </c>
    </row>
    <row r="169" spans="1:15" x14ac:dyDescent="0.3">
      <c r="A169" s="3" t="s">
        <v>208</v>
      </c>
      <c r="B169" s="3" t="s">
        <v>37</v>
      </c>
      <c r="C169">
        <v>1</v>
      </c>
      <c r="D169">
        <v>0</v>
      </c>
      <c r="E169">
        <v>1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0</v>
      </c>
    </row>
    <row r="170" spans="1:15" x14ac:dyDescent="0.3">
      <c r="A170" s="3" t="s">
        <v>208</v>
      </c>
      <c r="B170" s="3" t="s">
        <v>209</v>
      </c>
      <c r="C170">
        <v>4534</v>
      </c>
      <c r="D170">
        <v>57</v>
      </c>
      <c r="E170">
        <v>2297</v>
      </c>
      <c r="F170">
        <v>2180</v>
      </c>
      <c r="G170">
        <v>27</v>
      </c>
      <c r="H170">
        <v>1974</v>
      </c>
      <c r="I170">
        <v>179</v>
      </c>
      <c r="J170">
        <v>0</v>
      </c>
      <c r="K170">
        <v>48.08</v>
      </c>
      <c r="L170">
        <v>0</v>
      </c>
      <c r="M170">
        <v>0</v>
      </c>
      <c r="N170">
        <v>84</v>
      </c>
      <c r="O170">
        <v>56</v>
      </c>
    </row>
    <row r="171" spans="1:15" x14ac:dyDescent="0.3">
      <c r="A171" s="3" t="s">
        <v>208</v>
      </c>
      <c r="B171" s="3" t="s">
        <v>210</v>
      </c>
      <c r="C171">
        <v>5998</v>
      </c>
      <c r="D171">
        <v>63</v>
      </c>
      <c r="E171">
        <v>2968</v>
      </c>
      <c r="F171">
        <v>2967</v>
      </c>
      <c r="G171">
        <v>5</v>
      </c>
      <c r="H171">
        <v>2881</v>
      </c>
      <c r="I171">
        <v>81</v>
      </c>
      <c r="J171">
        <v>0</v>
      </c>
      <c r="K171">
        <v>49.47</v>
      </c>
      <c r="L171">
        <v>0</v>
      </c>
      <c r="M171">
        <v>0</v>
      </c>
      <c r="N171">
        <v>285</v>
      </c>
      <c r="O171">
        <v>92</v>
      </c>
    </row>
    <row r="172" spans="1:15" x14ac:dyDescent="0.3">
      <c r="A172" s="3" t="s">
        <v>208</v>
      </c>
      <c r="B172" s="3" t="s">
        <v>211</v>
      </c>
      <c r="C172">
        <v>3225</v>
      </c>
      <c r="D172">
        <v>123</v>
      </c>
      <c r="E172">
        <v>1031</v>
      </c>
      <c r="F172">
        <v>2071</v>
      </c>
      <c r="G172">
        <v>13</v>
      </c>
      <c r="H172">
        <v>1911</v>
      </c>
      <c r="I172">
        <v>147</v>
      </c>
      <c r="J172">
        <v>0</v>
      </c>
      <c r="K172">
        <v>64.22</v>
      </c>
      <c r="L172">
        <v>0</v>
      </c>
      <c r="M172">
        <v>0</v>
      </c>
      <c r="N172">
        <v>249</v>
      </c>
      <c r="O172">
        <v>51</v>
      </c>
    </row>
    <row r="173" spans="1:15" x14ac:dyDescent="0.3">
      <c r="A173" s="3" t="s">
        <v>208</v>
      </c>
      <c r="B173" s="3" t="s">
        <v>212</v>
      </c>
      <c r="C173">
        <v>7795</v>
      </c>
      <c r="D173">
        <v>114</v>
      </c>
      <c r="E173">
        <v>4008</v>
      </c>
      <c r="F173">
        <v>3673</v>
      </c>
      <c r="G173">
        <v>43</v>
      </c>
      <c r="H173">
        <v>2909</v>
      </c>
      <c r="I173">
        <v>720</v>
      </c>
      <c r="J173">
        <v>1</v>
      </c>
      <c r="K173">
        <v>47.12</v>
      </c>
      <c r="L173">
        <v>0</v>
      </c>
      <c r="M173">
        <v>0</v>
      </c>
      <c r="N173">
        <v>430</v>
      </c>
      <c r="O173">
        <v>207</v>
      </c>
    </row>
    <row r="174" spans="1:15" x14ac:dyDescent="0.3">
      <c r="A174" s="3" t="s">
        <v>208</v>
      </c>
      <c r="B174" s="3" t="s">
        <v>213</v>
      </c>
      <c r="C174">
        <v>8068</v>
      </c>
      <c r="D174">
        <v>302</v>
      </c>
      <c r="E174">
        <v>4111</v>
      </c>
      <c r="F174">
        <v>3655</v>
      </c>
      <c r="G174">
        <v>24</v>
      </c>
      <c r="H174">
        <v>1180</v>
      </c>
      <c r="I174">
        <v>2451</v>
      </c>
      <c r="J174">
        <v>0</v>
      </c>
      <c r="K174">
        <v>45.3</v>
      </c>
      <c r="L174">
        <v>0</v>
      </c>
      <c r="M174">
        <v>0</v>
      </c>
      <c r="N174">
        <v>414</v>
      </c>
      <c r="O174">
        <v>188</v>
      </c>
    </row>
    <row r="175" spans="1:15" x14ac:dyDescent="0.3">
      <c r="A175" s="3" t="s">
        <v>208</v>
      </c>
      <c r="B175" s="3" t="s">
        <v>214</v>
      </c>
      <c r="C175">
        <v>2822</v>
      </c>
      <c r="D175">
        <v>2</v>
      </c>
      <c r="E175">
        <v>1507</v>
      </c>
      <c r="F175">
        <v>1313</v>
      </c>
      <c r="G175">
        <v>66</v>
      </c>
      <c r="H175">
        <v>1095</v>
      </c>
      <c r="I175">
        <v>152</v>
      </c>
      <c r="J175">
        <v>0</v>
      </c>
      <c r="K175">
        <v>46.53</v>
      </c>
      <c r="L175">
        <v>0</v>
      </c>
      <c r="M175">
        <v>0</v>
      </c>
      <c r="N175">
        <v>120</v>
      </c>
      <c r="O175">
        <v>57</v>
      </c>
    </row>
    <row r="176" spans="1:15" x14ac:dyDescent="0.3">
      <c r="A176" s="3" t="s">
        <v>208</v>
      </c>
      <c r="B176" s="3" t="s">
        <v>215</v>
      </c>
      <c r="C176">
        <v>3244</v>
      </c>
      <c r="D176">
        <v>109</v>
      </c>
      <c r="E176">
        <v>1060</v>
      </c>
      <c r="F176">
        <v>2075</v>
      </c>
      <c r="G176">
        <v>130</v>
      </c>
      <c r="H176">
        <v>1219</v>
      </c>
      <c r="I176">
        <v>726</v>
      </c>
      <c r="J176">
        <v>0</v>
      </c>
      <c r="K176">
        <v>63.96</v>
      </c>
      <c r="L176">
        <v>0</v>
      </c>
      <c r="M176">
        <v>0</v>
      </c>
      <c r="N176">
        <v>92</v>
      </c>
      <c r="O176">
        <v>124</v>
      </c>
    </row>
    <row r="177" spans="1:15" x14ac:dyDescent="0.3">
      <c r="A177" s="3" t="s">
        <v>208</v>
      </c>
      <c r="B177" s="3" t="s">
        <v>216</v>
      </c>
      <c r="C177">
        <v>3453</v>
      </c>
      <c r="D177">
        <v>62</v>
      </c>
      <c r="E177">
        <v>1466</v>
      </c>
      <c r="F177">
        <v>1925</v>
      </c>
      <c r="G177">
        <v>72</v>
      </c>
      <c r="H177">
        <v>1598</v>
      </c>
      <c r="I177">
        <v>255</v>
      </c>
      <c r="J177">
        <v>0</v>
      </c>
      <c r="K177">
        <v>55.75</v>
      </c>
      <c r="L177">
        <v>0</v>
      </c>
      <c r="M177">
        <v>0</v>
      </c>
      <c r="N177">
        <v>185</v>
      </c>
      <c r="O177">
        <v>122</v>
      </c>
    </row>
    <row r="178" spans="1:15" x14ac:dyDescent="0.3">
      <c r="A178" s="3" t="s">
        <v>208</v>
      </c>
      <c r="B178" s="3" t="s">
        <v>217</v>
      </c>
      <c r="C178">
        <v>5162</v>
      </c>
      <c r="D178">
        <v>11</v>
      </c>
      <c r="E178">
        <v>2313</v>
      </c>
      <c r="F178">
        <v>2838</v>
      </c>
      <c r="G178">
        <v>88</v>
      </c>
      <c r="H178">
        <v>2353</v>
      </c>
      <c r="I178">
        <v>397</v>
      </c>
      <c r="J178">
        <v>0</v>
      </c>
      <c r="K178">
        <v>54.98</v>
      </c>
      <c r="L178">
        <v>0</v>
      </c>
      <c r="M178">
        <v>0</v>
      </c>
      <c r="N178">
        <v>237</v>
      </c>
      <c r="O178">
        <v>72</v>
      </c>
    </row>
    <row r="179" spans="1:15" x14ac:dyDescent="0.3">
      <c r="A179" s="3" t="s">
        <v>208</v>
      </c>
      <c r="B179" s="3" t="s">
        <v>218</v>
      </c>
      <c r="C179">
        <v>3569</v>
      </c>
      <c r="D179">
        <v>11</v>
      </c>
      <c r="E179">
        <v>1609</v>
      </c>
      <c r="F179">
        <v>1949</v>
      </c>
      <c r="G179">
        <v>665</v>
      </c>
      <c r="H179">
        <v>855</v>
      </c>
      <c r="I179">
        <v>429</v>
      </c>
      <c r="J179">
        <v>0</v>
      </c>
      <c r="K179">
        <v>54.61</v>
      </c>
      <c r="L179">
        <v>0</v>
      </c>
      <c r="M179">
        <v>0</v>
      </c>
      <c r="N179">
        <v>191</v>
      </c>
      <c r="O179">
        <v>19</v>
      </c>
    </row>
    <row r="180" spans="1:15" x14ac:dyDescent="0.3">
      <c r="A180" s="3" t="s">
        <v>219</v>
      </c>
      <c r="B180" s="3" t="s">
        <v>37</v>
      </c>
      <c r="C180">
        <v>59</v>
      </c>
      <c r="D180">
        <v>21</v>
      </c>
      <c r="E180">
        <v>11</v>
      </c>
      <c r="F180">
        <v>27</v>
      </c>
      <c r="G180">
        <v>0</v>
      </c>
      <c r="H180">
        <v>0</v>
      </c>
      <c r="I180">
        <v>0</v>
      </c>
      <c r="J180">
        <v>27</v>
      </c>
      <c r="K180">
        <v>45.76</v>
      </c>
      <c r="L180">
        <v>0</v>
      </c>
      <c r="M180">
        <v>0</v>
      </c>
      <c r="N180">
        <v>12</v>
      </c>
      <c r="O180">
        <v>0</v>
      </c>
    </row>
    <row r="181" spans="1:15" x14ac:dyDescent="0.3">
      <c r="A181" s="3" t="s">
        <v>219</v>
      </c>
      <c r="B181" s="3" t="s">
        <v>220</v>
      </c>
      <c r="C181">
        <v>23553</v>
      </c>
      <c r="D181">
        <v>562</v>
      </c>
      <c r="E181">
        <v>10966</v>
      </c>
      <c r="F181">
        <v>12025</v>
      </c>
      <c r="G181">
        <v>209</v>
      </c>
      <c r="H181">
        <v>7048</v>
      </c>
      <c r="I181">
        <v>4765</v>
      </c>
      <c r="J181">
        <v>3</v>
      </c>
      <c r="K181">
        <v>51.06</v>
      </c>
      <c r="L181">
        <v>0</v>
      </c>
      <c r="M181">
        <v>0</v>
      </c>
      <c r="N181">
        <v>1030</v>
      </c>
      <c r="O181">
        <v>831</v>
      </c>
    </row>
    <row r="182" spans="1:15" x14ac:dyDescent="0.3">
      <c r="A182" s="3" t="s">
        <v>219</v>
      </c>
      <c r="B182" s="3" t="s">
        <v>221</v>
      </c>
      <c r="C182">
        <v>27144</v>
      </c>
      <c r="D182">
        <v>808</v>
      </c>
      <c r="E182">
        <v>13566</v>
      </c>
      <c r="F182">
        <v>12770</v>
      </c>
      <c r="G182">
        <v>772</v>
      </c>
      <c r="H182">
        <v>8053</v>
      </c>
      <c r="I182">
        <v>3942</v>
      </c>
      <c r="J182">
        <v>3</v>
      </c>
      <c r="K182">
        <v>47.05</v>
      </c>
      <c r="L182">
        <v>0</v>
      </c>
      <c r="M182">
        <v>0</v>
      </c>
      <c r="N182">
        <v>792</v>
      </c>
      <c r="O182">
        <v>1031</v>
      </c>
    </row>
    <row r="183" spans="1:15" x14ac:dyDescent="0.3">
      <c r="A183" s="3" t="s">
        <v>219</v>
      </c>
      <c r="B183" s="3" t="s">
        <v>222</v>
      </c>
      <c r="C183">
        <v>17551</v>
      </c>
      <c r="D183">
        <v>730</v>
      </c>
      <c r="E183">
        <v>8134</v>
      </c>
      <c r="F183">
        <v>8687</v>
      </c>
      <c r="G183">
        <v>186</v>
      </c>
      <c r="H183">
        <v>6527</v>
      </c>
      <c r="I183">
        <v>1973</v>
      </c>
      <c r="J183">
        <v>1</v>
      </c>
      <c r="K183">
        <v>49.5</v>
      </c>
      <c r="L183">
        <v>0</v>
      </c>
      <c r="M183">
        <v>0</v>
      </c>
      <c r="N183">
        <v>693</v>
      </c>
      <c r="O183">
        <v>955</v>
      </c>
    </row>
    <row r="184" spans="1:15" x14ac:dyDescent="0.3">
      <c r="A184" s="3" t="s">
        <v>219</v>
      </c>
      <c r="B184" s="3" t="s">
        <v>223</v>
      </c>
      <c r="C184">
        <v>37061</v>
      </c>
      <c r="D184">
        <v>2377</v>
      </c>
      <c r="E184">
        <v>19715</v>
      </c>
      <c r="F184">
        <v>14969</v>
      </c>
      <c r="G184">
        <v>627</v>
      </c>
      <c r="H184">
        <v>11211</v>
      </c>
      <c r="I184">
        <v>3125</v>
      </c>
      <c r="J184">
        <v>6</v>
      </c>
      <c r="K184">
        <v>40.39</v>
      </c>
      <c r="L184">
        <v>0</v>
      </c>
      <c r="M184">
        <v>0</v>
      </c>
      <c r="N184">
        <v>1731</v>
      </c>
      <c r="O184">
        <v>986</v>
      </c>
    </row>
    <row r="185" spans="1:15" x14ac:dyDescent="0.3">
      <c r="A185" s="3" t="s">
        <v>219</v>
      </c>
      <c r="B185" s="3" t="s">
        <v>224</v>
      </c>
      <c r="C185">
        <v>23914</v>
      </c>
      <c r="D185">
        <v>1156</v>
      </c>
      <c r="E185">
        <v>10788</v>
      </c>
      <c r="F185">
        <v>11970</v>
      </c>
      <c r="G185">
        <v>619</v>
      </c>
      <c r="H185">
        <v>8691</v>
      </c>
      <c r="I185">
        <v>2657</v>
      </c>
      <c r="J185">
        <v>3</v>
      </c>
      <c r="K185">
        <v>50.05</v>
      </c>
      <c r="L185">
        <v>0</v>
      </c>
      <c r="M185">
        <v>0</v>
      </c>
      <c r="N185">
        <v>567</v>
      </c>
      <c r="O185">
        <v>894</v>
      </c>
    </row>
    <row r="186" spans="1:15" x14ac:dyDescent="0.3">
      <c r="A186" s="3" t="s">
        <v>219</v>
      </c>
      <c r="B186" s="3" t="s">
        <v>225</v>
      </c>
      <c r="C186">
        <v>46302</v>
      </c>
      <c r="D186">
        <v>2034</v>
      </c>
      <c r="E186">
        <v>24492</v>
      </c>
      <c r="F186">
        <v>19776</v>
      </c>
      <c r="G186">
        <v>623</v>
      </c>
      <c r="H186">
        <v>15786</v>
      </c>
      <c r="I186">
        <v>3364</v>
      </c>
      <c r="J186">
        <v>3</v>
      </c>
      <c r="K186">
        <v>42.71</v>
      </c>
      <c r="L186">
        <v>0</v>
      </c>
      <c r="M186">
        <v>0</v>
      </c>
      <c r="N186">
        <v>1870</v>
      </c>
      <c r="O186">
        <v>1803</v>
      </c>
    </row>
    <row r="187" spans="1:15" x14ac:dyDescent="0.3">
      <c r="A187" s="3" t="s">
        <v>219</v>
      </c>
      <c r="B187" s="3" t="s">
        <v>226</v>
      </c>
      <c r="C187">
        <v>11677</v>
      </c>
      <c r="D187">
        <v>610</v>
      </c>
      <c r="E187">
        <v>6038</v>
      </c>
      <c r="F187">
        <v>5029</v>
      </c>
      <c r="G187">
        <v>80</v>
      </c>
      <c r="H187">
        <v>3899</v>
      </c>
      <c r="I187">
        <v>1048</v>
      </c>
      <c r="J187">
        <v>2</v>
      </c>
      <c r="K187">
        <v>43.07</v>
      </c>
      <c r="L187">
        <v>0</v>
      </c>
      <c r="M187">
        <v>0</v>
      </c>
      <c r="N187">
        <v>339</v>
      </c>
      <c r="O187">
        <v>399</v>
      </c>
    </row>
    <row r="188" spans="1:15" x14ac:dyDescent="0.3">
      <c r="A188" s="3" t="s">
        <v>219</v>
      </c>
      <c r="B188" s="3" t="s">
        <v>227</v>
      </c>
      <c r="C188">
        <v>10379</v>
      </c>
      <c r="D188">
        <v>451</v>
      </c>
      <c r="E188">
        <v>4746</v>
      </c>
      <c r="F188">
        <v>5182</v>
      </c>
      <c r="G188">
        <v>83</v>
      </c>
      <c r="H188">
        <v>2975</v>
      </c>
      <c r="I188">
        <v>2122</v>
      </c>
      <c r="J188">
        <v>2</v>
      </c>
      <c r="K188">
        <v>49.93</v>
      </c>
      <c r="L188">
        <v>0</v>
      </c>
      <c r="M188">
        <v>0</v>
      </c>
      <c r="N188">
        <v>303</v>
      </c>
      <c r="O188">
        <v>261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0C774-CCD3-4737-BF3D-9599335C9B36}">
  <dimension ref="A1:R17"/>
  <sheetViews>
    <sheetView workbookViewId="0">
      <selection activeCell="Z19" sqref="Z19"/>
    </sheetView>
  </sheetViews>
  <sheetFormatPr defaultRowHeight="14.4" x14ac:dyDescent="0.3"/>
  <cols>
    <col min="1" max="1" width="10" bestFit="1" customWidth="1"/>
    <col min="2" max="2" width="8" hidden="1" customWidth="1"/>
    <col min="3" max="3" width="24.33203125" hidden="1" customWidth="1"/>
    <col min="4" max="4" width="24.6640625" hidden="1" customWidth="1"/>
    <col min="5" max="5" width="8.6640625" hidden="1" customWidth="1"/>
    <col min="6" max="6" width="23" hidden="1" customWidth="1"/>
    <col min="7" max="7" width="32.44140625" hidden="1" customWidth="1"/>
    <col min="8" max="8" width="27.88671875" hidden="1" customWidth="1"/>
    <col min="9" max="9" width="22.88671875" hidden="1" customWidth="1"/>
    <col min="10" max="10" width="25.44140625" hidden="1" customWidth="1"/>
    <col min="11" max="11" width="29.88671875" hidden="1" customWidth="1"/>
    <col min="12" max="12" width="30" hidden="1" customWidth="1"/>
    <col min="13" max="13" width="20.88671875" hidden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</v>
      </c>
      <c r="I1" t="s">
        <v>8</v>
      </c>
      <c r="J1" t="s">
        <v>9</v>
      </c>
      <c r="K1" t="s">
        <v>18</v>
      </c>
      <c r="L1" t="s">
        <v>11</v>
      </c>
      <c r="M1" t="s">
        <v>10</v>
      </c>
      <c r="N1" t="s">
        <v>12</v>
      </c>
      <c r="O1" t="s">
        <v>13</v>
      </c>
      <c r="P1" t="s">
        <v>14</v>
      </c>
      <c r="Q1" t="s">
        <v>16</v>
      </c>
      <c r="R1" t="s">
        <v>17</v>
      </c>
    </row>
    <row r="2" spans="1:18" x14ac:dyDescent="0.3">
      <c r="A2">
        <v>7201</v>
      </c>
      <c r="B2">
        <v>17580</v>
      </c>
      <c r="C2">
        <v>20399</v>
      </c>
      <c r="D2">
        <v>9852</v>
      </c>
      <c r="E2">
        <v>2333</v>
      </c>
      <c r="F2">
        <v>1238</v>
      </c>
      <c r="G2">
        <v>4</v>
      </c>
      <c r="H2">
        <v>209</v>
      </c>
      <c r="I2">
        <v>120</v>
      </c>
      <c r="J2">
        <v>89</v>
      </c>
      <c r="M2">
        <v>1</v>
      </c>
      <c r="N2">
        <f>SUM(progress_assignment_fd68e454_ba45_4b85_8205_f3bf777ded24__27[[#This Row],[OPEN]:[EDITED BY Pengawas]])</f>
        <v>51825</v>
      </c>
      <c r="O2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31912</v>
      </c>
      <c r="P2" s="2">
        <f>progress_assignment_fd68e454_ba45_4b85_8205_f3bf777ded24__27[[#This Row],[Not Draft + Open]]/progress_assignment_fd68e454_ba45_4b85_8205_f3bf777ded24__27[[#This Row],[Total]]*100</f>
        <v>61.576459237819577</v>
      </c>
      <c r="Q2" s="4">
        <f>progress_assignment_fd68e454_ba45_4b85_8205_f3bf777ded24__27[[#This Row],[Persentase]]-'26 Juli'!N2</f>
        <v>0.75901211667190438</v>
      </c>
      <c r="R2">
        <f>RANK(progress_assignment_fd68e454_ba45_4b85_8205_f3bf777ded24__27[[#This Row],[Persentase]],progress_assignment_fd68e454_ba45_4b85_8205_f3bf777ded24__27[Persentase])</f>
        <v>3</v>
      </c>
    </row>
    <row r="3" spans="1:18" x14ac:dyDescent="0.3">
      <c r="A3">
        <v>7202</v>
      </c>
      <c r="B3">
        <v>63750</v>
      </c>
      <c r="C3">
        <v>45809</v>
      </c>
      <c r="D3">
        <v>42720</v>
      </c>
      <c r="E3">
        <v>5711</v>
      </c>
      <c r="F3">
        <v>5633</v>
      </c>
      <c r="G3">
        <v>14</v>
      </c>
      <c r="H3">
        <v>88</v>
      </c>
      <c r="I3">
        <v>231</v>
      </c>
      <c r="J3">
        <v>4</v>
      </c>
      <c r="M3">
        <v>1</v>
      </c>
      <c r="N3">
        <f>SUM(progress_assignment_fd68e454_ba45_4b85_8205_f3bf777ded24__27[[#This Row],[OPEN]:[EDITED BY Pengawas]])</f>
        <v>163961</v>
      </c>
      <c r="O3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94500</v>
      </c>
      <c r="P3" s="2">
        <f>progress_assignment_fd68e454_ba45_4b85_8205_f3bf777ded24__27[[#This Row],[Not Draft + Open]]/progress_assignment_fd68e454_ba45_4b85_8205_f3bf777ded24__27[[#This Row],[Total]]*100</f>
        <v>57.635657259958165</v>
      </c>
      <c r="Q3" s="4">
        <f>progress_assignment_fd68e454_ba45_4b85_8205_f3bf777ded24__27[[#This Row],[Persentase]]-'26 Juli'!N3</f>
        <v>0.75031519264459234</v>
      </c>
      <c r="R3">
        <f>RANK(progress_assignment_fd68e454_ba45_4b85_8205_f3bf777ded24__27[[#This Row],[Persentase]],progress_assignment_fd68e454_ba45_4b85_8205_f3bf777ded24__27[Persentase])</f>
        <v>7</v>
      </c>
    </row>
    <row r="4" spans="1:18" x14ac:dyDescent="0.3">
      <c r="A4">
        <v>7203</v>
      </c>
      <c r="B4">
        <v>29069</v>
      </c>
      <c r="C4">
        <v>21453</v>
      </c>
      <c r="D4">
        <v>10947</v>
      </c>
      <c r="E4">
        <v>2967</v>
      </c>
      <c r="F4">
        <v>534</v>
      </c>
      <c r="G4">
        <v>82</v>
      </c>
      <c r="H4">
        <v>50</v>
      </c>
      <c r="I4">
        <v>36</v>
      </c>
      <c r="L4">
        <v>6</v>
      </c>
      <c r="N4">
        <f>SUM(progress_assignment_fd68e454_ba45_4b85_8205_f3bf777ded24__27[[#This Row],[OPEN]:[EDITED BY Pengawas]])</f>
        <v>65144</v>
      </c>
      <c r="O4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33108</v>
      </c>
      <c r="P4" s="2">
        <f>progress_assignment_fd68e454_ba45_4b85_8205_f3bf777ded24__27[[#This Row],[Not Draft + Open]]/progress_assignment_fd68e454_ba45_4b85_8205_f3bf777ded24__27[[#This Row],[Total]]*100</f>
        <v>50.822792582586274</v>
      </c>
      <c r="Q4" s="4">
        <f>progress_assignment_fd68e454_ba45_4b85_8205_f3bf777ded24__27[[#This Row],[Persentase]]-'26 Juli'!N4</f>
        <v>0.56673038723859293</v>
      </c>
      <c r="R4">
        <f>RANK(progress_assignment_fd68e454_ba45_4b85_8205_f3bf777ded24__27[[#This Row],[Persentase]],progress_assignment_fd68e454_ba45_4b85_8205_f3bf777ded24__27[Persentase])</f>
        <v>12</v>
      </c>
    </row>
    <row r="5" spans="1:18" x14ac:dyDescent="0.3">
      <c r="A5">
        <v>7204</v>
      </c>
      <c r="B5">
        <v>46730</v>
      </c>
      <c r="C5">
        <v>48366</v>
      </c>
      <c r="D5">
        <v>12840</v>
      </c>
      <c r="E5">
        <v>4530</v>
      </c>
      <c r="F5">
        <v>4374</v>
      </c>
      <c r="G5">
        <v>23</v>
      </c>
      <c r="H5">
        <v>524</v>
      </c>
      <c r="I5">
        <v>256</v>
      </c>
      <c r="J5">
        <v>48</v>
      </c>
      <c r="L5">
        <v>3</v>
      </c>
      <c r="N5">
        <f>SUM(progress_assignment_fd68e454_ba45_4b85_8205_f3bf777ded24__27[[#This Row],[OPEN]:[EDITED BY Pengawas]])</f>
        <v>117694</v>
      </c>
      <c r="O5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66434</v>
      </c>
      <c r="P5" s="2">
        <f>progress_assignment_fd68e454_ba45_4b85_8205_f3bf777ded24__27[[#This Row],[Not Draft + Open]]/progress_assignment_fd68e454_ba45_4b85_8205_f3bf777ded24__27[[#This Row],[Total]]*100</f>
        <v>56.446377895219811</v>
      </c>
      <c r="Q5" s="4">
        <f>progress_assignment_fd68e454_ba45_4b85_8205_f3bf777ded24__27[[#This Row],[Persentase]]-'26 Juli'!N5</f>
        <v>0.56730235145955277</v>
      </c>
      <c r="R5">
        <f>RANK(progress_assignment_fd68e454_ba45_4b85_8205_f3bf777ded24__27[[#This Row],[Persentase]],progress_assignment_fd68e454_ba45_4b85_8205_f3bf777ded24__27[Persentase])</f>
        <v>9</v>
      </c>
    </row>
    <row r="6" spans="1:18" x14ac:dyDescent="0.3">
      <c r="A6">
        <v>7205</v>
      </c>
      <c r="B6">
        <v>46224</v>
      </c>
      <c r="C6">
        <v>65913</v>
      </c>
      <c r="D6">
        <v>8438</v>
      </c>
      <c r="E6">
        <v>2640</v>
      </c>
      <c r="F6">
        <v>1144</v>
      </c>
      <c r="G6">
        <v>1095</v>
      </c>
      <c r="H6">
        <v>806</v>
      </c>
      <c r="I6">
        <v>196</v>
      </c>
      <c r="J6">
        <v>5</v>
      </c>
      <c r="L6">
        <v>17</v>
      </c>
      <c r="N6">
        <f>SUM(progress_assignment_fd68e454_ba45_4b85_8205_f3bf777ded24__27[[#This Row],[OPEN]:[EDITED BY Pengawas]])</f>
        <v>126478</v>
      </c>
      <c r="O6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77614</v>
      </c>
      <c r="P6" s="2">
        <f>progress_assignment_fd68e454_ba45_4b85_8205_f3bf777ded24__27[[#This Row],[Not Draft + Open]]/progress_assignment_fd68e454_ba45_4b85_8205_f3bf777ded24__27[[#This Row],[Total]]*100</f>
        <v>61.3656129919828</v>
      </c>
      <c r="Q6" s="4">
        <f>progress_assignment_fd68e454_ba45_4b85_8205_f3bf777ded24__27[[#This Row],[Persentase]]-'26 Juli'!N6</f>
        <v>0.88707429504144386</v>
      </c>
      <c r="R6">
        <f>RANK(progress_assignment_fd68e454_ba45_4b85_8205_f3bf777ded24__27[[#This Row],[Persentase]],progress_assignment_fd68e454_ba45_4b85_8205_f3bf777ded24__27[Persentase])</f>
        <v>4</v>
      </c>
    </row>
    <row r="7" spans="1:18" x14ac:dyDescent="0.3">
      <c r="A7">
        <v>7206</v>
      </c>
      <c r="B7">
        <v>36232</v>
      </c>
      <c r="C7">
        <v>45096</v>
      </c>
      <c r="D7">
        <v>6764</v>
      </c>
      <c r="E7">
        <v>3247</v>
      </c>
      <c r="F7">
        <v>789</v>
      </c>
      <c r="H7">
        <v>982</v>
      </c>
      <c r="I7">
        <v>132</v>
      </c>
      <c r="M7">
        <v>1</v>
      </c>
      <c r="N7">
        <f>SUM(progress_assignment_fd68e454_ba45_4b85_8205_f3bf777ded24__27[[#This Row],[OPEN]:[EDITED BY Pengawas]])</f>
        <v>93243</v>
      </c>
      <c r="O7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53764</v>
      </c>
      <c r="P7" s="2">
        <f>progress_assignment_fd68e454_ba45_4b85_8205_f3bf777ded24__27[[#This Row],[Not Draft + Open]]/progress_assignment_fd68e454_ba45_4b85_8205_f3bf777ded24__27[[#This Row],[Total]]*100</f>
        <v>57.660092446617973</v>
      </c>
      <c r="Q7" s="4">
        <f>progress_assignment_fd68e454_ba45_4b85_8205_f3bf777ded24__27[[#This Row],[Persentase]]-'26 Juli'!N7</f>
        <v>0.61799793557018035</v>
      </c>
      <c r="R7">
        <f>RANK(progress_assignment_fd68e454_ba45_4b85_8205_f3bf777ded24__27[[#This Row],[Persentase]],progress_assignment_fd68e454_ba45_4b85_8205_f3bf777ded24__27[Persentase])</f>
        <v>6</v>
      </c>
    </row>
    <row r="8" spans="1:18" x14ac:dyDescent="0.3">
      <c r="A8">
        <v>7207</v>
      </c>
      <c r="B8">
        <v>24876</v>
      </c>
      <c r="C8">
        <v>30721</v>
      </c>
      <c r="D8">
        <v>4737</v>
      </c>
      <c r="E8">
        <v>4091</v>
      </c>
      <c r="F8">
        <v>1361</v>
      </c>
      <c r="G8">
        <v>81</v>
      </c>
      <c r="H8">
        <v>204</v>
      </c>
      <c r="I8">
        <v>147</v>
      </c>
      <c r="J8">
        <v>46</v>
      </c>
      <c r="L8">
        <v>91</v>
      </c>
      <c r="N8">
        <f>SUM(progress_assignment_fd68e454_ba45_4b85_8205_f3bf777ded24__27[[#This Row],[OPEN]:[EDITED BY Pengawas]])</f>
        <v>66355</v>
      </c>
      <c r="O8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37388</v>
      </c>
      <c r="P8" s="2">
        <f>progress_assignment_fd68e454_ba45_4b85_8205_f3bf777ded24__27[[#This Row],[Not Draft + Open]]/progress_assignment_fd68e454_ba45_4b85_8205_f3bf777ded24__27[[#This Row],[Total]]*100</f>
        <v>56.345414814256642</v>
      </c>
      <c r="Q8" s="4">
        <f>progress_assignment_fd68e454_ba45_4b85_8205_f3bf777ded24__27[[#This Row],[Persentase]]-'26 Juli'!N8</f>
        <v>0.7707360093590836</v>
      </c>
      <c r="R8">
        <f>RANK(progress_assignment_fd68e454_ba45_4b85_8205_f3bf777ded24__27[[#This Row],[Persentase]],progress_assignment_fd68e454_ba45_4b85_8205_f3bf777ded24__27[Persentase])</f>
        <v>10</v>
      </c>
    </row>
    <row r="9" spans="1:18" x14ac:dyDescent="0.3">
      <c r="A9">
        <v>7208</v>
      </c>
      <c r="B9">
        <v>72766</v>
      </c>
      <c r="C9">
        <v>77347</v>
      </c>
      <c r="D9">
        <v>29379</v>
      </c>
      <c r="E9">
        <v>5388</v>
      </c>
      <c r="F9">
        <v>5162</v>
      </c>
      <c r="G9">
        <v>2311</v>
      </c>
      <c r="H9">
        <v>141</v>
      </c>
      <c r="I9">
        <v>240</v>
      </c>
      <c r="L9">
        <v>14</v>
      </c>
      <c r="M9">
        <v>5</v>
      </c>
      <c r="N9">
        <f>SUM(progress_assignment_fd68e454_ba45_4b85_8205_f3bf777ded24__27[[#This Row],[OPEN]:[EDITED BY Pengawas]])</f>
        <v>192753</v>
      </c>
      <c r="O9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114599</v>
      </c>
      <c r="P9" s="2">
        <f>progress_assignment_fd68e454_ba45_4b85_8205_f3bf777ded24__27[[#This Row],[Not Draft + Open]]/progress_assignment_fd68e454_ba45_4b85_8205_f3bf777ded24__27[[#This Row],[Total]]*100</f>
        <v>59.453808760434335</v>
      </c>
      <c r="Q9" s="4">
        <f>progress_assignment_fd68e454_ba45_4b85_8205_f3bf777ded24__27[[#This Row],[Persentase]]-'26 Juli'!N9</f>
        <v>0.73278184015577352</v>
      </c>
      <c r="R9">
        <f>RANK(progress_assignment_fd68e454_ba45_4b85_8205_f3bf777ded24__27[[#This Row],[Persentase]],progress_assignment_fd68e454_ba45_4b85_8205_f3bf777ded24__27[Persentase])</f>
        <v>5</v>
      </c>
    </row>
    <row r="10" spans="1:18" x14ac:dyDescent="0.3">
      <c r="A10">
        <v>7209</v>
      </c>
      <c r="B10">
        <v>24070</v>
      </c>
      <c r="C10">
        <v>29461</v>
      </c>
      <c r="D10">
        <v>7888</v>
      </c>
      <c r="E10">
        <v>1303</v>
      </c>
      <c r="F10">
        <v>3533</v>
      </c>
      <c r="G10">
        <v>708</v>
      </c>
      <c r="H10">
        <v>20</v>
      </c>
      <c r="I10">
        <v>145</v>
      </c>
      <c r="J10">
        <v>8</v>
      </c>
      <c r="M10">
        <v>1</v>
      </c>
      <c r="N10">
        <f>SUM(progress_assignment_fd68e454_ba45_4b85_8205_f3bf777ded24__27[[#This Row],[OPEN]:[EDITED BY Pengawas]])</f>
        <v>67137</v>
      </c>
      <c r="O10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41764</v>
      </c>
      <c r="P10" s="2">
        <f>progress_assignment_fd68e454_ba45_4b85_8205_f3bf777ded24__27[[#This Row],[Not Draft + Open]]/progress_assignment_fd68e454_ba45_4b85_8205_f3bf777ded24__27[[#This Row],[Total]]*100</f>
        <v>62.207128706972313</v>
      </c>
      <c r="Q10" s="4">
        <f>progress_assignment_fd68e454_ba45_4b85_8205_f3bf777ded24__27[[#This Row],[Persentase]]-'26 Juli'!N10</f>
        <v>0.86430821710089134</v>
      </c>
      <c r="R10">
        <f>RANK(progress_assignment_fd68e454_ba45_4b85_8205_f3bf777ded24__27[[#This Row],[Persentase]],progress_assignment_fd68e454_ba45_4b85_8205_f3bf777ded24__27[Persentase])</f>
        <v>2</v>
      </c>
    </row>
    <row r="11" spans="1:18" x14ac:dyDescent="0.3">
      <c r="A11">
        <v>7210</v>
      </c>
      <c r="B11">
        <v>48771</v>
      </c>
      <c r="C11">
        <v>56758</v>
      </c>
      <c r="D11">
        <v>9832</v>
      </c>
      <c r="E11">
        <v>2169</v>
      </c>
      <c r="F11">
        <v>1594</v>
      </c>
      <c r="G11">
        <v>137</v>
      </c>
      <c r="H11">
        <v>482</v>
      </c>
      <c r="I11">
        <v>142</v>
      </c>
      <c r="J11">
        <v>8</v>
      </c>
      <c r="L11">
        <v>10</v>
      </c>
      <c r="N11">
        <f>SUM(progress_assignment_fd68e454_ba45_4b85_8205_f3bf777ded24__27[[#This Row],[OPEN]:[EDITED BY Pengawas]])</f>
        <v>119903</v>
      </c>
      <c r="O11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68963</v>
      </c>
      <c r="P11" s="2">
        <f>progress_assignment_fd68e454_ba45_4b85_8205_f3bf777ded24__27[[#This Row],[Not Draft + Open]]/progress_assignment_fd68e454_ba45_4b85_8205_f3bf777ded24__27[[#This Row],[Total]]*100</f>
        <v>57.515658490613241</v>
      </c>
      <c r="Q11" s="4">
        <f>progress_assignment_fd68e454_ba45_4b85_8205_f3bf777ded24__27[[#This Row],[Persentase]]-'26 Juli'!N11</f>
        <v>0.77991801436309771</v>
      </c>
      <c r="R11">
        <f>RANK(progress_assignment_fd68e454_ba45_4b85_8205_f3bf777ded24__27[[#This Row],[Persentase]],progress_assignment_fd68e454_ba45_4b85_8205_f3bf777ded24__27[Persentase])</f>
        <v>8</v>
      </c>
    </row>
    <row r="12" spans="1:18" x14ac:dyDescent="0.3">
      <c r="A12">
        <v>7211</v>
      </c>
      <c r="B12">
        <v>10786</v>
      </c>
      <c r="C12">
        <v>18570</v>
      </c>
      <c r="D12">
        <v>1439</v>
      </c>
      <c r="E12">
        <v>433</v>
      </c>
      <c r="F12">
        <v>101</v>
      </c>
      <c r="G12">
        <v>416</v>
      </c>
      <c r="H12">
        <v>73</v>
      </c>
      <c r="I12">
        <v>21</v>
      </c>
      <c r="J12">
        <v>24</v>
      </c>
      <c r="M12">
        <v>1</v>
      </c>
      <c r="N12">
        <f>SUM(progress_assignment_fd68e454_ba45_4b85_8205_f3bf777ded24__27[[#This Row],[OPEN]:[EDITED BY Pengawas]])</f>
        <v>31864</v>
      </c>
      <c r="O12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20645</v>
      </c>
      <c r="P12" s="2">
        <f>progress_assignment_fd68e454_ba45_4b85_8205_f3bf777ded24__27[[#This Row],[Not Draft + Open]]/progress_assignment_fd68e454_ba45_4b85_8205_f3bf777ded24__27[[#This Row],[Total]]*100</f>
        <v>64.790986693447152</v>
      </c>
      <c r="Q12" s="4">
        <f>progress_assignment_fd68e454_ba45_4b85_8205_f3bf777ded24__27[[#This Row],[Persentase]]-'26 Juli'!N12</f>
        <v>0.84053241949953161</v>
      </c>
      <c r="R12">
        <f>RANK(progress_assignment_fd68e454_ba45_4b85_8205_f3bf777ded24__27[[#This Row],[Persentase]],progress_assignment_fd68e454_ba45_4b85_8205_f3bf777ded24__27[Persentase])</f>
        <v>1</v>
      </c>
    </row>
    <row r="13" spans="1:18" x14ac:dyDescent="0.3">
      <c r="A13">
        <v>7212</v>
      </c>
      <c r="B13">
        <v>22091</v>
      </c>
      <c r="C13">
        <v>18404</v>
      </c>
      <c r="D13">
        <v>5391</v>
      </c>
      <c r="E13">
        <v>839</v>
      </c>
      <c r="F13">
        <v>997</v>
      </c>
      <c r="G13">
        <v>35</v>
      </c>
      <c r="H13">
        <v>84</v>
      </c>
      <c r="I13">
        <v>119</v>
      </c>
      <c r="J13">
        <v>1</v>
      </c>
      <c r="L13">
        <v>3</v>
      </c>
      <c r="N13">
        <f>SUM(progress_assignment_fd68e454_ba45_4b85_8205_f3bf777ded24__27[[#This Row],[OPEN]:[EDITED BY Pengawas]])</f>
        <v>47964</v>
      </c>
      <c r="O13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25034</v>
      </c>
      <c r="P13" s="2">
        <f>progress_assignment_fd68e454_ba45_4b85_8205_f3bf777ded24__27[[#This Row],[Not Draft + Open]]/progress_assignment_fd68e454_ba45_4b85_8205_f3bf777ded24__27[[#This Row],[Total]]*100</f>
        <v>52.193311650404475</v>
      </c>
      <c r="Q13" s="4">
        <f>progress_assignment_fd68e454_ba45_4b85_8205_f3bf777ded24__27[[#This Row],[Persentase]]-'26 Juli'!N13</f>
        <v>0.7091145373297465</v>
      </c>
      <c r="R13">
        <f>RANK(progress_assignment_fd68e454_ba45_4b85_8205_f3bf777ded24__27[[#This Row],[Persentase]],progress_assignment_fd68e454_ba45_4b85_8205_f3bf777ded24__27[Persentase])</f>
        <v>11</v>
      </c>
    </row>
    <row r="14" spans="1:18" x14ac:dyDescent="0.3">
      <c r="A14">
        <v>7271</v>
      </c>
      <c r="B14">
        <v>97859</v>
      </c>
      <c r="C14">
        <v>65574</v>
      </c>
      <c r="D14">
        <v>18363</v>
      </c>
      <c r="E14">
        <v>8768</v>
      </c>
      <c r="F14">
        <v>3026</v>
      </c>
      <c r="G14">
        <v>2621</v>
      </c>
      <c r="H14">
        <v>1577</v>
      </c>
      <c r="I14">
        <v>222</v>
      </c>
      <c r="J14">
        <v>50</v>
      </c>
      <c r="K14">
        <v>6</v>
      </c>
      <c r="N14">
        <f>SUM(progress_assignment_fd68e454_ba45_4b85_8205_f3bf777ded24__27[[#This Row],[OPEN]:[EDITED BY Pengawas]])</f>
        <v>198066</v>
      </c>
      <c r="O14">
        <f>progress_assignment_fd68e454_ba45_4b85_8205_f3bf777ded24__27[[#This Row],[EDITED BY Pengawas]]+progress_assignment_fd68e454_ba45_4b85_8205_f3bf777ded24__27[[#This Row],[REJECTED BY Admin Kabupaten]]+progress_assignment_fd68e454_ba45_4b85_8205_f3bf777ded24__27[[#This Row],[REVOKED BY Admin Kabupaten]]+progress_assignment_fd68e454_ba45_4b85_8205_f3bf777ded24__27[[#This Row],[SUBMITTED RESPONDENT]]+progress_assignment_fd68e454_ba45_4b85_8205_f3bf777ded24__27[[#This Row],[REVOKED BY Pengawas]]+progress_assignment_fd68e454_ba45_4b85_8205_f3bf777ded24__27[[#This Row],[EDITED BY Admin Kabupaten]]+progress_assignment_fd68e454_ba45_4b85_8205_f3bf777ded24__27[[#This Row],[COMPLETED BY Admin Kabupaten]]+progress_assignment_fd68e454_ba45_4b85_8205_f3bf777ded24__27[[#This Row],[REJECTED BY Pengawas]]+progress_assignment_fd68e454_ba45_4b85_8205_f3bf777ded24__27[[#This Row],[SUBMITTED BY Pencacah]]+progress_assignment_fd68e454_ba45_4b85_8205_f3bf777ded24__27[[#This Row],[APPROVED BY Pengawas]]</f>
        <v>91439</v>
      </c>
      <c r="P14" s="2">
        <f>progress_assignment_fd68e454_ba45_4b85_8205_f3bf777ded24__27[[#This Row],[Not Draft + Open]]/progress_assignment_fd68e454_ba45_4b85_8205_f3bf777ded24__27[[#This Row],[Total]]*100</f>
        <v>46.165924489816526</v>
      </c>
      <c r="Q14" s="4">
        <f>progress_assignment_fd68e454_ba45_4b85_8205_f3bf777ded24__27[[#This Row],[Persentase]]-'26 Juli'!N14</f>
        <v>0.40848672418204046</v>
      </c>
      <c r="R14">
        <f>RANK(progress_assignment_fd68e454_ba45_4b85_8205_f3bf777ded24__27[[#This Row],[Persentase]],progress_assignment_fd68e454_ba45_4b85_8205_f3bf777ded24__27[Persentase])</f>
        <v>13</v>
      </c>
    </row>
    <row r="16" spans="1:18" x14ac:dyDescent="0.3">
      <c r="A16" s="5">
        <v>7200</v>
      </c>
      <c r="B16" s="5">
        <f>SUM(progress_assignment_fd68e454_ba45_4b85_8205_f3bf777ded24__27[OPEN])</f>
        <v>540804</v>
      </c>
      <c r="C16" s="5">
        <f>SUM(progress_assignment_fd68e454_ba45_4b85_8205_f3bf777ded24__27[APPROVED BY Pengawas])</f>
        <v>543871</v>
      </c>
      <c r="D16" s="5">
        <f>SUM(progress_assignment_fd68e454_ba45_4b85_8205_f3bf777ded24__27[SUBMITTED BY Pencacah])</f>
        <v>168590</v>
      </c>
      <c r="E16" s="5">
        <f>SUM(progress_assignment_fd68e454_ba45_4b85_8205_f3bf777ded24__27[DRAFT])</f>
        <v>44419</v>
      </c>
      <c r="F16" s="5">
        <f>SUM(progress_assignment_fd68e454_ba45_4b85_8205_f3bf777ded24__27[REJECTED BY Pengawas])</f>
        <v>29486</v>
      </c>
      <c r="G16" s="5">
        <f>SUM(progress_assignment_fd68e454_ba45_4b85_8205_f3bf777ded24__27[COMPLETED BY Admin Kabupaten])</f>
        <v>7527</v>
      </c>
      <c r="H16" s="5">
        <f>SUM(progress_assignment_fd68e454_ba45_4b85_8205_f3bf777ded24__27[EDITED BY Admin Kabupaten])</f>
        <v>5240</v>
      </c>
      <c r="I16" s="5">
        <f>SUM(progress_assignment_fd68e454_ba45_4b85_8205_f3bf777ded24__27[REVOKED BY Pengawas])</f>
        <v>2007</v>
      </c>
      <c r="J16" s="5">
        <f>SUM(progress_assignment_fd68e454_ba45_4b85_8205_f3bf777ded24__27[SUBMITTED RESPONDENT])</f>
        <v>283</v>
      </c>
      <c r="K16" s="5">
        <f>SUM(progress_assignment_fd68e454_ba45_4b85_8205_f3bf777ded24__27[REVOKED BY Admin Kabupaten])</f>
        <v>6</v>
      </c>
      <c r="L16" s="5">
        <f>SUM(progress_assignment_fd68e454_ba45_4b85_8205_f3bf777ded24__27[REJECTED BY Admin Kabupaten])</f>
        <v>144</v>
      </c>
      <c r="M16" s="5">
        <f>SUM(progress_assignment_fd68e454_ba45_4b85_8205_f3bf777ded24__27[EDITED BY Pengawas])</f>
        <v>10</v>
      </c>
      <c r="N16" s="5">
        <f>SUM(progress_assignment_fd68e454_ba45_4b85_8205_f3bf777ded24__27[Total])</f>
        <v>1342387</v>
      </c>
      <c r="O16" s="5">
        <f>SUM(progress_assignment_fd68e454_ba45_4b85_8205_f3bf777ded24__27[Not Draft + Open])</f>
        <v>757164</v>
      </c>
      <c r="P16" s="6">
        <f>O16/N16*100</f>
        <v>56.404300697190898</v>
      </c>
      <c r="Q16" s="4">
        <f>P16-progress_assignment_fd68e454_ba45_4b85_8205_f3bf777ded24__26[Persentase]</f>
        <v>0.9564252422730064</v>
      </c>
    </row>
    <row r="17" spans="17:17" x14ac:dyDescent="0.3">
      <c r="Q17" s="4">
        <f>P16-'26 Juli'!N15</f>
        <v>0.68546793266538941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2e7a774-13ff-4888-9742-da9a3af45ff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1B5E054EDD4E49921E9E8D61F339BF" ma:contentTypeVersion="12" ma:contentTypeDescription="Create a new document." ma:contentTypeScope="" ma:versionID="4369b98df92cc96ba9121b587c386ef8">
  <xsd:schema xmlns:xsd="http://www.w3.org/2001/XMLSchema" xmlns:xs="http://www.w3.org/2001/XMLSchema" xmlns:p="http://schemas.microsoft.com/office/2006/metadata/properties" xmlns:ns3="f2e7a774-13ff-4888-9742-da9a3af45ffc" targetNamespace="http://schemas.microsoft.com/office/2006/metadata/properties" ma:root="true" ma:fieldsID="51f2d79caa056715cecf070ed41e3768" ns3:_="">
    <xsd:import namespace="f2e7a774-13ff-4888-9742-da9a3af45ff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e7a774-13ff-4888-9742-da9a3af45ff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C36FC03-B134-4078-B736-17EF364B41E2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www.w3.org/XML/1998/namespace"/>
    <ds:schemaRef ds:uri="f2e7a774-13ff-4888-9742-da9a3af45ffc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74409CD-639F-4698-AA2A-CD8B640A4C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e7a774-13ff-4888-9742-da9a3af45f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698BF18-0D52-434D-883B-DF214E14272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16405AE-9DDC-4A91-AE01-B55EE56484D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6 Juli</vt:lpstr>
      <vt:lpstr>7 Juli</vt:lpstr>
      <vt:lpstr>8 Juli</vt:lpstr>
      <vt:lpstr>9 Juli</vt:lpstr>
      <vt:lpstr>10 Juli</vt:lpstr>
      <vt:lpstr>11 Juli</vt:lpstr>
      <vt:lpstr>12 Juli</vt:lpstr>
      <vt:lpstr>13 juli</vt:lpstr>
      <vt:lpstr>14 Juli</vt:lpstr>
      <vt:lpstr>15 Juli</vt:lpstr>
      <vt:lpstr>16 Juli</vt:lpstr>
      <vt:lpstr>17 Juli</vt:lpstr>
      <vt:lpstr>18 Juli</vt:lpstr>
      <vt:lpstr>19 Juli</vt:lpstr>
      <vt:lpstr>20 Juli</vt:lpstr>
      <vt:lpstr>21 Juli</vt:lpstr>
      <vt:lpstr>22 Juli</vt:lpstr>
      <vt:lpstr>23 Juli</vt:lpstr>
      <vt:lpstr>24 Juli</vt:lpstr>
      <vt:lpstr>25 Juli</vt:lpstr>
      <vt:lpstr>26 Juli</vt:lpstr>
      <vt:lpstr>Sheet4</vt:lpstr>
      <vt:lpstr>Sheet3</vt:lpstr>
      <vt:lpstr>27 Juli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2026-07-05T22:31:28Z</dcterms:created>
  <dcterms:modified xsi:type="dcterms:W3CDTF">2026-07-27T05:38:59Z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0x010100751B5E054EDD4E49921E9E8D61F339BF</vt:lpwstr>
  </property>
</Properties>
</file>