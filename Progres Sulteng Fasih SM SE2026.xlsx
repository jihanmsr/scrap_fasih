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2026\SE2026\Progres\"/>
    </mc:Choice>
  </mc:AlternateContent>
  <xr:revisionPtr revIDLastSave="0" documentId="8_{25AE0333-5F25-47BE-AC9F-D9382D26336D}" xr6:coauthVersionLast="45" xr6:coauthVersionMax="45" xr10:uidLastSave="{00000000-0000-0000-0000-000000000000}"/>
  <bookViews>
    <workbookView xWindow="-108" yWindow="-108" windowWidth="23256" windowHeight="12456" activeTab="1" xr2:uid="{CA250867-9145-40E7-B96C-5840EB896F4B}"/>
  </bookViews>
  <sheets>
    <sheet name="6 Juli" sheetId="2" r:id="rId1"/>
    <sheet name="7 Juli" sheetId="3" r:id="rId2"/>
    <sheet name="Sheet1" sheetId="1" r:id="rId3"/>
  </sheets>
  <definedNames>
    <definedName name="ExternalData_1" localSheetId="0" hidden="1">'6 Juli'!$A$1:$L$14</definedName>
    <definedName name="ExternalData_1" localSheetId="1" hidden="1">'7 Juli'!$A$1:$L$16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D16" i="3"/>
  <c r="E16" i="3"/>
  <c r="F16" i="3"/>
  <c r="G16" i="3"/>
  <c r="H16" i="3"/>
  <c r="I16" i="3"/>
  <c r="J16" i="3"/>
  <c r="K16" i="3"/>
  <c r="L16" i="3"/>
  <c r="B16" i="3"/>
  <c r="N5" i="3"/>
  <c r="N6" i="3"/>
  <c r="N9" i="3"/>
  <c r="N7" i="3"/>
  <c r="N8" i="3"/>
  <c r="N10" i="3"/>
  <c r="N4" i="3"/>
  <c r="N11" i="3"/>
  <c r="N13" i="3"/>
  <c r="N3" i="3"/>
  <c r="N12" i="3"/>
  <c r="N2" i="3"/>
  <c r="N14" i="3"/>
  <c r="M5" i="3"/>
  <c r="M6" i="3"/>
  <c r="M9" i="3"/>
  <c r="O9" i="3" s="1"/>
  <c r="M7" i="3"/>
  <c r="M8" i="3"/>
  <c r="O8" i="3" s="1"/>
  <c r="M10" i="3"/>
  <c r="O10" i="3" s="1"/>
  <c r="M4" i="3"/>
  <c r="O4" i="3" s="1"/>
  <c r="M11" i="3"/>
  <c r="M13" i="3"/>
  <c r="M3" i="3"/>
  <c r="M12" i="3"/>
  <c r="O12" i="3" s="1"/>
  <c r="M2" i="3"/>
  <c r="M14" i="3"/>
  <c r="O6" i="3" l="1"/>
  <c r="P6" i="3" s="1"/>
  <c r="O13" i="3"/>
  <c r="N16" i="3"/>
  <c r="M16" i="3"/>
  <c r="O16" i="3" s="1"/>
  <c r="O14" i="3"/>
  <c r="O11" i="3"/>
  <c r="O3" i="3"/>
  <c r="O5" i="3"/>
  <c r="O2" i="3"/>
  <c r="P10" i="3" s="1"/>
  <c r="O7" i="3"/>
  <c r="N14" i="2"/>
  <c r="N5" i="2"/>
  <c r="N6" i="2"/>
  <c r="N9" i="2"/>
  <c r="N7" i="2"/>
  <c r="N8" i="2"/>
  <c r="N10" i="2"/>
  <c r="N4" i="2"/>
  <c r="O4" i="2" s="1"/>
  <c r="N11" i="2"/>
  <c r="N13" i="2"/>
  <c r="N3" i="2"/>
  <c r="N12" i="2"/>
  <c r="N2" i="2"/>
  <c r="O2" i="2" s="1"/>
  <c r="M14" i="2"/>
  <c r="O14" i="2" s="1"/>
  <c r="M5" i="2"/>
  <c r="M6" i="2"/>
  <c r="M9" i="2"/>
  <c r="M7" i="2"/>
  <c r="M8" i="2"/>
  <c r="M10" i="2"/>
  <c r="M4" i="2"/>
  <c r="M11" i="2"/>
  <c r="O11" i="2" s="1"/>
  <c r="M13" i="2"/>
  <c r="M3" i="2"/>
  <c r="M12" i="2"/>
  <c r="M2" i="2"/>
  <c r="P16" i="3" l="1"/>
  <c r="P7" i="3"/>
  <c r="P13" i="3"/>
  <c r="P4" i="3"/>
  <c r="P11" i="3"/>
  <c r="P12" i="3"/>
  <c r="P5" i="3"/>
  <c r="P9" i="3"/>
  <c r="P3" i="3"/>
  <c r="P8" i="3"/>
  <c r="P14" i="3"/>
  <c r="P2" i="3"/>
  <c r="O10" i="2"/>
  <c r="O7" i="2"/>
  <c r="O12" i="2"/>
  <c r="O6" i="2"/>
  <c r="O8" i="2"/>
  <c r="P8" i="2" s="1"/>
  <c r="O9" i="2"/>
  <c r="O3" i="2"/>
  <c r="P3" i="2" s="1"/>
  <c r="O13" i="2"/>
  <c r="P2" i="2" s="1"/>
  <c r="O5" i="2"/>
  <c r="P9" i="2" l="1"/>
  <c r="P12" i="2"/>
  <c r="P5" i="2"/>
  <c r="P11" i="2"/>
  <c r="P10" i="2"/>
  <c r="P4" i="2"/>
  <c r="P7" i="2"/>
  <c r="P14" i="2"/>
  <c r="P13" i="2"/>
  <c r="P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D6EC9-565A-463C-ACB9-A08E7BDC25AC}" keepAlive="1" name="Query - progress-assignment-fd68e454-ba45-4b85-8205-f3bf777ded24 (3)" description="Connection to the 'progress-assignment-fd68e454-ba45-4b85-8205-f3bf777ded24 (3)' query in the workbook." type="5" refreshedVersion="6" background="1" saveData="1">
    <dbPr connection="Provider=Microsoft.Mashup.OleDb.1;Data Source=$Workbook$;Location=progress-assignment-fd68e454-ba45-4b85-8205-f3bf777ded24 (3);Extended Properties=&quot;&quot;" command="SELECT * FROM [progress-assignment-fd68e454-ba45-4b85-8205-f3bf777ded24 (3)]"/>
  </connection>
  <connection id="2" xr16:uid="{44DD4A57-3718-4A62-883C-25B5B29832E6}" keepAlive="1" name="Query - progress-assignment-fd68e454-ba45-4b85-8205-f3bf777ded24 sulteng 6 Juli 2026" description="Connection to the 'progress-assignment-fd68e454-ba45-4b85-8205-f3bf777ded24 sulteng 6 Juli 2026' query in the workbook." type="5" refreshedVersion="6" background="1" saveData="1">
    <dbPr connection="Provider=Microsoft.Mashup.OleDb.1;Data Source=$Workbook$;Location=progress-assignment-fd68e454-ba45-4b85-8205-f3bf777ded24 sulteng 6 Juli 2026;Extended Properties=&quot;&quot;" command="SELECT * FROM [progress-assignment-fd68e454-ba45-4b85-8205-f3bf777ded24 sulteng 6 Juli 2026]"/>
  </connection>
</connections>
</file>

<file path=xl/sharedStrings.xml><?xml version="1.0" encoding="utf-8"?>
<sst xmlns="http://schemas.openxmlformats.org/spreadsheetml/2006/main" count="32" uniqueCount="16">
  <si>
    <t>Wilayah</t>
  </si>
  <si>
    <t>OPEN</t>
  </si>
  <si>
    <t>APPROVED BY Pengawas</t>
  </si>
  <si>
    <t>SUBMITTED BY Pencacah</t>
  </si>
  <si>
    <t>DRAFT</t>
  </si>
  <si>
    <t>REJECTED BY Pengawas</t>
  </si>
  <si>
    <t>EDITED BY Admin Kabupaten</t>
  </si>
  <si>
    <t>COMPLETED BY Admin Kabupaten</t>
  </si>
  <si>
    <t>REVOKED BY Pengawas</t>
  </si>
  <si>
    <t>SUBMITTED RESPONDENT</t>
  </si>
  <si>
    <t>EDITED BY Pengawas</t>
  </si>
  <si>
    <t>REJECTED BY Admin Kabupaten</t>
  </si>
  <si>
    <t>Total</t>
  </si>
  <si>
    <t>Not Draft + Open</t>
  </si>
  <si>
    <t>Persentase</t>
  </si>
  <si>
    <t>Peringkat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</si>
</sst>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 applyAlignment="1">
      <alignment horizontal="left"/>
    </xf>
    <xf numFmtId="43" fontId="0" fillId="0" borderId="0" xfId="1" applyFon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C408E4-B15A-4E4A-907C-2FA4FDDB7649}" autoFormatId="16" applyNumberFormats="0" applyBorderFormats="0" applyFontFormats="0" applyPatternFormats="0" applyAlignmentFormats="0" applyWidthHeightFormats="0">
  <queryTableRefresh nextId="17" unboundColumnsRight="4">
    <queryTableFields count="16">
      <queryTableField id="1" name="Wilayah" tableColumnId="1"/>
      <queryTableField id="2" name="OPEN" tableColumnId="2"/>
      <queryTableField id="3" name="APPROVED BY Pengawas" tableColumnId="3"/>
      <queryTableField id="4" name="SUBMITTED BY Pencacah" tableColumnId="4"/>
      <queryTableField id="5" name="DRAFT" tableColumnId="5"/>
      <queryTableField id="6" name="REJECTED BY Pengawas" tableColumnId="6"/>
      <queryTableField id="7" name="EDITED BY Admin Kabupaten" tableColumnId="7"/>
      <queryTableField id="8" name="COMPLETED BY Admin Kabupaten" tableColumnId="8"/>
      <queryTableField id="9" name="REVOKED BY Pengawas" tableColumnId="9"/>
      <queryTableField id="10" name="SUBMITTED RESPONDENT" tableColumnId="10"/>
      <queryTableField id="11" name="EDITED BY Pengawas" tableColumnId="11"/>
      <queryTableField id="12" name="REJECTED BY Admin Kabupaten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062F24-BA1C-468A-A099-01B6F5D9F720}" autoFormatId="16" applyNumberFormats="0" applyBorderFormats="0" applyFontFormats="0" applyPatternFormats="0" applyAlignmentFormats="0" applyWidthHeightFormats="0">
  <queryTableRefresh nextId="17" unboundColumnsRight="4">
    <queryTableFields count="16">
      <queryTableField id="1" name="Wilayah" tableColumnId="1"/>
      <queryTableField id="2" name="OPEN" tableColumnId="2"/>
      <queryTableField id="3" name="APPROVED BY Pengawas" tableColumnId="3"/>
      <queryTableField id="4" name="SUBMITTED BY Pencacah" tableColumnId="4"/>
      <queryTableField id="5" name="DRAFT" tableColumnId="5"/>
      <queryTableField id="6" name="REJECTED BY Pengawas" tableColumnId="6"/>
      <queryTableField id="7" name="EDITED BY Admin Kabupaten" tableColumnId="7"/>
      <queryTableField id="8" name="COMPLETED BY Admin Kabupaten" tableColumnId="8"/>
      <queryTableField id="9" name="REVOKED BY Pengawas" tableColumnId="9"/>
      <queryTableField id="10" name="SUBMITTED RESPONDENT" tableColumnId="10"/>
      <queryTableField id="11" name="EDITED BY Pengawas" tableColumnId="11"/>
      <queryTableField id="12" name="REJECTED BY Admin Kabupaten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3850B-EA2F-4DB1-812D-CF3782C02393}" name="progress_assignment_fd68e454_ba45_4b85_8205_f3bf777ded24_sulteng_6_Juli_2026" displayName="progress_assignment_fd68e454_ba45_4b85_8205_f3bf777ded24_sulteng_6_Juli_2026" ref="A1:P14" tableType="queryTable" totalsRowShown="0">
  <autoFilter ref="A1:P14" xr:uid="{823C3A15-9D5E-4344-9840-CD17AF8EAFDD}"/>
  <sortState xmlns:xlrd2="http://schemas.microsoft.com/office/spreadsheetml/2017/richdata2" ref="A2:P14">
    <sortCondition ref="P1:P14"/>
  </sortState>
  <tableColumns count="16">
    <tableColumn id="1" xr3:uid="{B4E5BE59-00ED-4216-B698-7C6251249F45}" uniqueName="1" name="Wilayah" queryTableFieldId="1"/>
    <tableColumn id="2" xr3:uid="{9B07B65F-8FE1-45BF-B319-4C177C523EB6}" uniqueName="2" name="OPEN" queryTableFieldId="2"/>
    <tableColumn id="3" xr3:uid="{36E95000-A468-40F0-8E82-D4F44BB9B948}" uniqueName="3" name="APPROVED BY Pengawas" queryTableFieldId="3"/>
    <tableColumn id="4" xr3:uid="{66CE1346-250C-49AA-8BBB-7C9E0BAD1FFC}" uniqueName="4" name="SUBMITTED BY Pencacah" queryTableFieldId="4"/>
    <tableColumn id="5" xr3:uid="{04A52173-E977-4316-BFF0-0EBE30D7D078}" uniqueName="5" name="DRAFT" queryTableFieldId="5"/>
    <tableColumn id="6" xr3:uid="{563121BF-4FCA-4727-B6BD-C1FCF97DC53B}" uniqueName="6" name="REJECTED BY Pengawas" queryTableFieldId="6"/>
    <tableColumn id="7" xr3:uid="{CDD86749-02FA-47C7-856B-0229EAD430EA}" uniqueName="7" name="EDITED BY Admin Kabupaten" queryTableFieldId="7"/>
    <tableColumn id="8" xr3:uid="{AB346A47-C1F1-466C-9234-28E3DA9363EB}" uniqueName="8" name="COMPLETED BY Admin Kabupaten" queryTableFieldId="8"/>
    <tableColumn id="9" xr3:uid="{B54CE35F-79A8-4D59-B572-F5878CF73396}" uniqueName="9" name="REVOKED BY Pengawas" queryTableFieldId="9"/>
    <tableColumn id="10" xr3:uid="{3AA86775-7670-4F75-9EA2-55F04BF2F74E}" uniqueName="10" name="SUBMITTED RESPONDENT" queryTableFieldId="10"/>
    <tableColumn id="11" xr3:uid="{184431C1-C60A-40BB-AF0E-3282333BEBF2}" uniqueName="11" name="EDITED BY Pengawas" queryTableFieldId="11"/>
    <tableColumn id="12" xr3:uid="{5EE2A119-438D-42F3-AE96-B815BF4C948D}" uniqueName="12" name="REJECTED BY Admin Kabupaten" queryTableFieldId="12"/>
    <tableColumn id="13" xr3:uid="{8DA66F81-62C1-4C6B-8FD0-0B6200D0531F}" uniqueName="13" name="Total" queryTableFieldId="13" dataDxfId="5">
      <calculatedColumnFormula>SUM(progress_assignment_fd68e454_ba45_4b85_8205_f3bf777ded24_sulteng_6_Juli_2026[[#This Row],[OPEN]:[REJECTED BY Admin Kabupaten]])</calculatedColumnFormula>
    </tableColumn>
    <tableColumn id="14" xr3:uid="{29D77EED-5647-4EDA-976A-CA4331085C4A}" uniqueName="14" name="Not Draft + Open" queryTableFieldId="14" dataDxfId="4">
      <calculatedColumnFormula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calculatedColumnFormula>
    </tableColumn>
    <tableColumn id="15" xr3:uid="{59E4A011-02FC-4E40-AC91-CF86E6158D0B}" uniqueName="15" name="Persentase" queryTableFieldId="15" dataCellStyle="Comma">
      <calculatedColumnFormula>progress_assignment_fd68e454_ba45_4b85_8205_f3bf777ded24_sulteng_6_Juli_2026[[#This Row],[Not Draft + Open]]/progress_assignment_fd68e454_ba45_4b85_8205_f3bf777ded24_sulteng_6_Juli_2026[[#This Row],[Total]]*100</calculatedColumnFormula>
    </tableColumn>
    <tableColumn id="16" xr3:uid="{710CAE96-9B36-4415-A6CC-489E661CAD4D}" uniqueName="16" name="Peringkat" queryTableFieldId="16" dataDxfId="3">
      <calculatedColumnFormula>RANK(progress_assignment_fd68e454_ba45_4b85_8205_f3bf777ded24_sulteng_6_Juli_2026[[#This Row],[Persentase]],progress_assignment_fd68e454_ba45_4b85_8205_f3bf777ded24_sulteng_6_Juli_2026[Persentase],0)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58C0A-FCC5-4F74-9BDC-D88DA6491AA4}" name="progress_assignment_fd68e454_ba45_4b85_8205_f3bf777ded24__3" displayName="progress_assignment_fd68e454_ba45_4b85_8205_f3bf777ded24__3" ref="A1:P16" tableType="queryTable" totalsRowShown="0">
  <autoFilter ref="A1:P16" xr:uid="{0BEE1ACB-6F0D-4660-AEAC-E7B5EDBD3615}"/>
  <sortState xmlns:xlrd2="http://schemas.microsoft.com/office/spreadsheetml/2017/richdata2" ref="A2:P14">
    <sortCondition ref="P1:P14"/>
  </sortState>
  <tableColumns count="16">
    <tableColumn id="1" xr3:uid="{057B2863-D698-4946-AA2E-C41446F45A5F}" uniqueName="1" name="Wilayah" queryTableFieldId="1"/>
    <tableColumn id="2" xr3:uid="{8F28CF96-6E64-4DB0-BD2D-7B955A10EF5C}" uniqueName="2" name="OPEN" queryTableFieldId="2"/>
    <tableColumn id="3" xr3:uid="{E48F8DCC-AAEF-4753-9421-543D6DC7AF18}" uniqueName="3" name="APPROVED BY Pengawas" queryTableFieldId="3"/>
    <tableColumn id="4" xr3:uid="{F86D4EDB-AD22-48D0-B896-D64E2B114887}" uniqueName="4" name="SUBMITTED BY Pencacah" queryTableFieldId="4"/>
    <tableColumn id="5" xr3:uid="{2655502C-BC50-44F0-B122-D24705FB164E}" uniqueName="5" name="DRAFT" queryTableFieldId="5"/>
    <tableColumn id="6" xr3:uid="{162DAFB8-E3B8-4B8C-BA16-F211D2A1B32B}" uniqueName="6" name="REJECTED BY Pengawas" queryTableFieldId="6"/>
    <tableColumn id="7" xr3:uid="{0EE88848-4D21-4C4A-AAB4-861D83984EC4}" uniqueName="7" name="EDITED BY Admin Kabupaten" queryTableFieldId="7"/>
    <tableColumn id="8" xr3:uid="{FE433B84-7783-4A99-B9D6-EA069D9CB588}" uniqueName="8" name="COMPLETED BY Admin Kabupaten" queryTableFieldId="8"/>
    <tableColumn id="9" xr3:uid="{42A2A1F8-C32C-4DD3-B844-6E7CF0E17DD5}" uniqueName="9" name="REVOKED BY Pengawas" queryTableFieldId="9"/>
    <tableColumn id="10" xr3:uid="{319CFDEB-4E23-4665-8000-46BCC9AF3B47}" uniqueName="10" name="SUBMITTED RESPONDENT" queryTableFieldId="10"/>
    <tableColumn id="11" xr3:uid="{21A11847-3972-42AA-BDF3-7EB8461022E8}" uniqueName="11" name="EDITED BY Pengawas" queryTableFieldId="11"/>
    <tableColumn id="12" xr3:uid="{825F6454-D1DB-40A5-B414-B93BF0338755}" uniqueName="12" name="REJECTED BY Admin Kabupaten" queryTableFieldId="12"/>
    <tableColumn id="13" xr3:uid="{0B9DA0AF-9EAC-46A1-A771-BBF05C220FEF}" uniqueName="13" name="Total" queryTableFieldId="13" dataDxfId="2">
      <calculatedColumnFormula>SUM(progress_assignment_fd68e454_ba45_4b85_8205_f3bf777ded24__3[[#This Row],[OPEN]:[REJECTED BY Admin Kabupaten]])</calculatedColumnFormula>
    </tableColumn>
    <tableColumn id="14" xr3:uid="{DD711A94-51B6-4A0E-86FF-412CE33A437D}" uniqueName="14" name="Not Draft + Open" queryTableFieldId="14" dataDxfId="1">
      <calculatedColumnFormula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calculatedColumnFormula>
    </tableColumn>
    <tableColumn id="15" xr3:uid="{444C15ED-3BD7-4747-AF1E-D10509067941}" uniqueName="15" name="Persentase" queryTableFieldId="15" dataCellStyle="Comma">
      <calculatedColumnFormula>progress_assignment_fd68e454_ba45_4b85_8205_f3bf777ded24__3[[#This Row],[Not Draft + Open]]/progress_assignment_fd68e454_ba45_4b85_8205_f3bf777ded24__3[[#This Row],[Total]]*100</calculatedColumnFormula>
    </tableColumn>
    <tableColumn id="16" xr3:uid="{7463AA57-7F02-4D9C-B02D-B5FC20A9AC63}" uniqueName="16" name="Peringkat" queryTableFieldId="16" dataDxfId="0">
      <calculatedColumnFormula>RANK(progress_assignment_fd68e454_ba45_4b85_8205_f3bf777ded24__3[[#This Row],[Persentase]],progress_assignment_fd68e454_ba45_4b85_8205_f3bf777ded24__3[Persentase],0)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D234-5360-4EF1-AC60-E9A02435577F}">
  <dimension ref="A1:P14"/>
  <sheetViews>
    <sheetView topLeftCell="I1" workbookViewId="0">
      <selection activeCell="M2" sqref="M2"/>
    </sheetView>
  </sheetViews>
  <sheetFormatPr defaultRowHeight="14.4" x14ac:dyDescent="0.3"/>
  <cols>
    <col min="1" max="1" width="10" bestFit="1" customWidth="1"/>
    <col min="2" max="2" width="8" customWidth="1"/>
    <col min="3" max="3" width="24.33203125" customWidth="1"/>
    <col min="4" max="4" width="24.6640625" customWidth="1"/>
    <col min="5" max="5" width="8.6640625" customWidth="1"/>
    <col min="6" max="6" width="23" customWidth="1"/>
    <col min="7" max="7" width="27.88671875" customWidth="1"/>
    <col min="8" max="8" width="32.44140625" customWidth="1"/>
    <col min="9" max="9" width="22.88671875" customWidth="1"/>
    <col min="10" max="10" width="25.44140625" customWidth="1"/>
    <col min="11" max="11" width="20.88671875" customWidth="1"/>
    <col min="12" max="12" width="30" customWidth="1"/>
    <col min="13" max="14" width="8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6" x14ac:dyDescent="0.3">
      <c r="A2">
        <v>7211</v>
      </c>
      <c r="B2">
        <v>18979</v>
      </c>
      <c r="C2">
        <v>9039</v>
      </c>
      <c r="D2">
        <v>1252</v>
      </c>
      <c r="E2">
        <v>261</v>
      </c>
      <c r="F2">
        <v>142</v>
      </c>
      <c r="I2">
        <v>10</v>
      </c>
      <c r="J2">
        <v>24</v>
      </c>
      <c r="K2">
        <v>1</v>
      </c>
      <c r="M2">
        <f>SUM(progress_assignment_fd68e454_ba45_4b85_8205_f3bf777ded24_sulteng_6_Juli_2026[[#This Row],[OPEN]:[REJECTED BY Admin Kabupaten]])</f>
        <v>29708</v>
      </c>
      <c r="N2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10468</v>
      </c>
      <c r="O2" s="2">
        <f>progress_assignment_fd68e454_ba45_4b85_8205_f3bf777ded24_sulteng_6_Juli_2026[[#This Row],[Not Draft + Open]]/progress_assignment_fd68e454_ba45_4b85_8205_f3bf777ded24_sulteng_6_Juli_2026[[#This Row],[Total]]*100</f>
        <v>35.236299986535613</v>
      </c>
      <c r="P2">
        <f>RANK(progress_assignment_fd68e454_ba45_4b85_8205_f3bf777ded24_sulteng_6_Juli_2026[[#This Row],[Persentase]],progress_assignment_fd68e454_ba45_4b85_8205_f3bf777ded24_sulteng_6_Juli_2026[Persentase],0)</f>
        <v>1</v>
      </c>
    </row>
    <row r="3" spans="1:16" x14ac:dyDescent="0.3">
      <c r="A3">
        <v>7201</v>
      </c>
      <c r="B3">
        <v>30922</v>
      </c>
      <c r="C3">
        <v>6814</v>
      </c>
      <c r="D3">
        <v>7703</v>
      </c>
      <c r="E3">
        <v>1515</v>
      </c>
      <c r="F3">
        <v>805</v>
      </c>
      <c r="G3">
        <v>7</v>
      </c>
      <c r="I3">
        <v>46</v>
      </c>
      <c r="J3">
        <v>95</v>
      </c>
      <c r="K3">
        <v>1</v>
      </c>
      <c r="L3">
        <v>1</v>
      </c>
      <c r="M3">
        <f>SUM(progress_assignment_fd68e454_ba45_4b85_8205_f3bf777ded24_sulteng_6_Juli_2026[[#This Row],[OPEN]:[REJECTED BY Admin Kabupaten]])</f>
        <v>47909</v>
      </c>
      <c r="N3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15472</v>
      </c>
      <c r="O3" s="2">
        <f>progress_assignment_fd68e454_ba45_4b85_8205_f3bf777ded24_sulteng_6_Juli_2026[[#This Row],[Not Draft + Open]]/progress_assignment_fd68e454_ba45_4b85_8205_f3bf777ded24_sulteng_6_Juli_2026[[#This Row],[Total]]*100</f>
        <v>32.294558433697219</v>
      </c>
      <c r="P3">
        <f>RANK(progress_assignment_fd68e454_ba45_4b85_8205_f3bf777ded24_sulteng_6_Juli_2026[[#This Row],[Persentase]],progress_assignment_fd68e454_ba45_4b85_8205_f3bf777ded24_sulteng_6_Juli_2026[Persentase],0)</f>
        <v>2</v>
      </c>
    </row>
    <row r="4" spans="1:16" x14ac:dyDescent="0.3">
      <c r="A4">
        <v>7209</v>
      </c>
      <c r="B4">
        <v>41480</v>
      </c>
      <c r="C4">
        <v>9711</v>
      </c>
      <c r="D4">
        <v>8532</v>
      </c>
      <c r="E4">
        <v>1201</v>
      </c>
      <c r="F4">
        <v>1947</v>
      </c>
      <c r="I4">
        <v>40</v>
      </c>
      <c r="J4">
        <v>4</v>
      </c>
      <c r="K4">
        <v>4</v>
      </c>
      <c r="M4">
        <f>SUM(progress_assignment_fd68e454_ba45_4b85_8205_f3bf777ded24_sulteng_6_Juli_2026[[#This Row],[OPEN]:[REJECTED BY Admin Kabupaten]])</f>
        <v>62919</v>
      </c>
      <c r="N4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20238</v>
      </c>
      <c r="O4" s="2">
        <f>progress_assignment_fd68e454_ba45_4b85_8205_f3bf777ded24_sulteng_6_Juli_2026[[#This Row],[Not Draft + Open]]/progress_assignment_fd68e454_ba45_4b85_8205_f3bf777ded24_sulteng_6_Juli_2026[[#This Row],[Total]]*100</f>
        <v>32.165164735612457</v>
      </c>
      <c r="P4">
        <f>RANK(progress_assignment_fd68e454_ba45_4b85_8205_f3bf777ded24_sulteng_6_Juli_2026[[#This Row],[Persentase]],progress_assignment_fd68e454_ba45_4b85_8205_f3bf777ded24_sulteng_6_Juli_2026[Persentase],0)</f>
        <v>3</v>
      </c>
    </row>
    <row r="5" spans="1:16" x14ac:dyDescent="0.3">
      <c r="A5">
        <v>7208</v>
      </c>
      <c r="B5">
        <v>121422</v>
      </c>
      <c r="C5">
        <v>21927</v>
      </c>
      <c r="D5">
        <v>32319</v>
      </c>
      <c r="E5">
        <v>2531</v>
      </c>
      <c r="F5">
        <v>2524</v>
      </c>
      <c r="G5">
        <v>18</v>
      </c>
      <c r="H5">
        <v>2</v>
      </c>
      <c r="I5">
        <v>92</v>
      </c>
      <c r="J5">
        <v>5</v>
      </c>
      <c r="K5">
        <v>15</v>
      </c>
      <c r="M5">
        <f>SUM(progress_assignment_fd68e454_ba45_4b85_8205_f3bf777ded24_sulteng_6_Juli_2026[[#This Row],[OPEN]:[REJECTED BY Admin Kabupaten]])</f>
        <v>180855</v>
      </c>
      <c r="N5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56902</v>
      </c>
      <c r="O5" s="2">
        <f>progress_assignment_fd68e454_ba45_4b85_8205_f3bf777ded24_sulteng_6_Juli_2026[[#This Row],[Not Draft + Open]]/progress_assignment_fd68e454_ba45_4b85_8205_f3bf777ded24_sulteng_6_Juli_2026[[#This Row],[Total]]*100</f>
        <v>31.46277404550607</v>
      </c>
      <c r="P5">
        <f>RANK(progress_assignment_fd68e454_ba45_4b85_8205_f3bf777ded24_sulteng_6_Juli_2026[[#This Row],[Persentase]],progress_assignment_fd68e454_ba45_4b85_8205_f3bf777ded24_sulteng_6_Juli_2026[Persentase],0)</f>
        <v>4</v>
      </c>
    </row>
    <row r="6" spans="1:16" x14ac:dyDescent="0.3">
      <c r="A6">
        <v>7202</v>
      </c>
      <c r="B6">
        <v>100897</v>
      </c>
      <c r="C6">
        <v>9421</v>
      </c>
      <c r="D6">
        <v>35143</v>
      </c>
      <c r="E6">
        <v>4362</v>
      </c>
      <c r="F6">
        <v>1947</v>
      </c>
      <c r="G6">
        <v>15</v>
      </c>
      <c r="I6">
        <v>41</v>
      </c>
      <c r="J6">
        <v>4</v>
      </c>
      <c r="K6">
        <v>4</v>
      </c>
      <c r="L6">
        <v>1</v>
      </c>
      <c r="M6">
        <f>SUM(progress_assignment_fd68e454_ba45_4b85_8205_f3bf777ded24_sulteng_6_Juli_2026[[#This Row],[OPEN]:[REJECTED BY Admin Kabupaten]])</f>
        <v>151835</v>
      </c>
      <c r="N6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46576</v>
      </c>
      <c r="O6" s="2">
        <f>progress_assignment_fd68e454_ba45_4b85_8205_f3bf777ded24_sulteng_6_Juli_2026[[#This Row],[Not Draft + Open]]/progress_assignment_fd68e454_ba45_4b85_8205_f3bf777ded24_sulteng_6_Juli_2026[[#This Row],[Total]]*100</f>
        <v>30.675404221688019</v>
      </c>
      <c r="P6">
        <f>RANK(progress_assignment_fd68e454_ba45_4b85_8205_f3bf777ded24_sulteng_6_Juli_2026[[#This Row],[Persentase]],progress_assignment_fd68e454_ba45_4b85_8205_f3bf777ded24_sulteng_6_Juli_2026[Persentase],0)</f>
        <v>5</v>
      </c>
    </row>
    <row r="7" spans="1:16" x14ac:dyDescent="0.3">
      <c r="A7">
        <v>7210</v>
      </c>
      <c r="B7">
        <v>76510</v>
      </c>
      <c r="C7">
        <v>16261</v>
      </c>
      <c r="D7">
        <v>16618</v>
      </c>
      <c r="E7">
        <v>1990</v>
      </c>
      <c r="F7">
        <v>1445</v>
      </c>
      <c r="H7">
        <v>2</v>
      </c>
      <c r="I7">
        <v>78</v>
      </c>
      <c r="J7">
        <v>8</v>
      </c>
      <c r="K7">
        <v>6</v>
      </c>
      <c r="L7">
        <v>4</v>
      </c>
      <c r="M7">
        <f>SUM(progress_assignment_fd68e454_ba45_4b85_8205_f3bf777ded24_sulteng_6_Juli_2026[[#This Row],[OPEN]:[REJECTED BY Admin Kabupaten]])</f>
        <v>112922</v>
      </c>
      <c r="N7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34422</v>
      </c>
      <c r="O7" s="2">
        <f>progress_assignment_fd68e454_ba45_4b85_8205_f3bf777ded24_sulteng_6_Juli_2026[[#This Row],[Not Draft + Open]]/progress_assignment_fd68e454_ba45_4b85_8205_f3bf777ded24_sulteng_6_Juli_2026[[#This Row],[Total]]*100</f>
        <v>30.482988257381198</v>
      </c>
      <c r="P7">
        <f>RANK(progress_assignment_fd68e454_ba45_4b85_8205_f3bf777ded24_sulteng_6_Juli_2026[[#This Row],[Persentase]],progress_assignment_fd68e454_ba45_4b85_8205_f3bf777ded24_sulteng_6_Juli_2026[Persentase],0)</f>
        <v>6</v>
      </c>
    </row>
    <row r="8" spans="1:16" x14ac:dyDescent="0.3">
      <c r="A8">
        <v>7204</v>
      </c>
      <c r="B8">
        <v>75646</v>
      </c>
      <c r="C8">
        <v>12426</v>
      </c>
      <c r="D8">
        <v>18832</v>
      </c>
      <c r="E8">
        <v>2914</v>
      </c>
      <c r="F8">
        <v>1561</v>
      </c>
      <c r="G8">
        <v>59</v>
      </c>
      <c r="I8">
        <v>98</v>
      </c>
      <c r="J8">
        <v>47</v>
      </c>
      <c r="K8">
        <v>4</v>
      </c>
      <c r="L8">
        <v>16</v>
      </c>
      <c r="M8">
        <f>SUM(progress_assignment_fd68e454_ba45_4b85_8205_f3bf777ded24_sulteng_6_Juli_2026[[#This Row],[OPEN]:[REJECTED BY Admin Kabupaten]])</f>
        <v>111603</v>
      </c>
      <c r="N8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33043</v>
      </c>
      <c r="O8" s="2">
        <f>progress_assignment_fd68e454_ba45_4b85_8205_f3bf777ded24_sulteng_6_Juli_2026[[#This Row],[Not Draft + Open]]/progress_assignment_fd68e454_ba45_4b85_8205_f3bf777ded24_sulteng_6_Juli_2026[[#This Row],[Total]]*100</f>
        <v>29.607627035115542</v>
      </c>
      <c r="P8">
        <f>RANK(progress_assignment_fd68e454_ba45_4b85_8205_f3bf777ded24_sulteng_6_Juli_2026[[#This Row],[Persentase]],progress_assignment_fd68e454_ba45_4b85_8205_f3bf777ded24_sulteng_6_Juli_2026[Persentase],0)</f>
        <v>7</v>
      </c>
    </row>
    <row r="9" spans="1:16" x14ac:dyDescent="0.3">
      <c r="A9">
        <v>7205</v>
      </c>
      <c r="B9">
        <v>79542</v>
      </c>
      <c r="C9">
        <v>25074</v>
      </c>
      <c r="D9">
        <v>7441</v>
      </c>
      <c r="E9">
        <v>2336</v>
      </c>
      <c r="F9">
        <v>676</v>
      </c>
      <c r="G9">
        <v>70</v>
      </c>
      <c r="I9">
        <v>38</v>
      </c>
      <c r="J9">
        <v>5</v>
      </c>
      <c r="K9">
        <v>2</v>
      </c>
      <c r="L9">
        <v>28</v>
      </c>
      <c r="M9">
        <f>SUM(progress_assignment_fd68e454_ba45_4b85_8205_f3bf777ded24_sulteng_6_Juli_2026[[#This Row],[OPEN]:[REJECTED BY Admin Kabupaten]])</f>
        <v>115212</v>
      </c>
      <c r="N9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33334</v>
      </c>
      <c r="O9" s="2">
        <f>progress_assignment_fd68e454_ba45_4b85_8205_f3bf777ded24_sulteng_6_Juli_2026[[#This Row],[Not Draft + Open]]/progress_assignment_fd68e454_ba45_4b85_8205_f3bf777ded24_sulteng_6_Juli_2026[[#This Row],[Total]]*100</f>
        <v>28.932750060757563</v>
      </c>
      <c r="P9">
        <f>RANK(progress_assignment_fd68e454_ba45_4b85_8205_f3bf777ded24_sulteng_6_Juli_2026[[#This Row],[Persentase]],progress_assignment_fd68e454_ba45_4b85_8205_f3bf777ded24_sulteng_6_Juli_2026[Persentase],0)</f>
        <v>8</v>
      </c>
    </row>
    <row r="10" spans="1:16" x14ac:dyDescent="0.3">
      <c r="A10">
        <v>7206</v>
      </c>
      <c r="B10">
        <v>57736</v>
      </c>
      <c r="C10">
        <v>12803</v>
      </c>
      <c r="D10">
        <v>10609</v>
      </c>
      <c r="E10">
        <v>2364</v>
      </c>
      <c r="F10">
        <v>766</v>
      </c>
      <c r="G10">
        <v>117</v>
      </c>
      <c r="I10">
        <v>85</v>
      </c>
      <c r="K10">
        <v>3</v>
      </c>
      <c r="M10">
        <f>SUM(progress_assignment_fd68e454_ba45_4b85_8205_f3bf777ded24_sulteng_6_Juli_2026[[#This Row],[OPEN]:[REJECTED BY Admin Kabupaten]])</f>
        <v>84483</v>
      </c>
      <c r="N10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24383</v>
      </c>
      <c r="O10" s="2">
        <f>progress_assignment_fd68e454_ba45_4b85_8205_f3bf777ded24_sulteng_6_Juli_2026[[#This Row],[Not Draft + Open]]/progress_assignment_fd68e454_ba45_4b85_8205_f3bf777ded24_sulteng_6_Juli_2026[[#This Row],[Total]]*100</f>
        <v>28.861427742859508</v>
      </c>
      <c r="P10">
        <f>RANK(progress_assignment_fd68e454_ba45_4b85_8205_f3bf777ded24_sulteng_6_Juli_2026[[#This Row],[Persentase]],progress_assignment_fd68e454_ba45_4b85_8205_f3bf777ded24_sulteng_6_Juli_2026[Persentase],0)</f>
        <v>9</v>
      </c>
    </row>
    <row r="11" spans="1:16" x14ac:dyDescent="0.3">
      <c r="A11">
        <v>7207</v>
      </c>
      <c r="B11">
        <v>41722</v>
      </c>
      <c r="C11">
        <v>5658</v>
      </c>
      <c r="D11">
        <v>10283</v>
      </c>
      <c r="E11">
        <v>2621</v>
      </c>
      <c r="F11">
        <v>1320</v>
      </c>
      <c r="G11">
        <v>15</v>
      </c>
      <c r="I11">
        <v>35</v>
      </c>
      <c r="J11">
        <v>46</v>
      </c>
      <c r="K11">
        <v>2</v>
      </c>
      <c r="L11">
        <v>3</v>
      </c>
      <c r="M11">
        <f>SUM(progress_assignment_fd68e454_ba45_4b85_8205_f3bf777ded24_sulteng_6_Juli_2026[[#This Row],[OPEN]:[REJECTED BY Admin Kabupaten]])</f>
        <v>61705</v>
      </c>
      <c r="N11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17362</v>
      </c>
      <c r="O11" s="2">
        <f>progress_assignment_fd68e454_ba45_4b85_8205_f3bf777ded24_sulteng_6_Juli_2026[[#This Row],[Not Draft + Open]]/progress_assignment_fd68e454_ba45_4b85_8205_f3bf777ded24_sulteng_6_Juli_2026[[#This Row],[Total]]*100</f>
        <v>28.137103962401749</v>
      </c>
      <c r="P11">
        <f>RANK(progress_assignment_fd68e454_ba45_4b85_8205_f3bf777ded24_sulteng_6_Juli_2026[[#This Row],[Persentase]],progress_assignment_fd68e454_ba45_4b85_8205_f3bf777ded24_sulteng_6_Juli_2026[Persentase],0)</f>
        <v>10</v>
      </c>
    </row>
    <row r="12" spans="1:16" x14ac:dyDescent="0.3">
      <c r="A12">
        <v>7212</v>
      </c>
      <c r="B12">
        <v>33722</v>
      </c>
      <c r="C12">
        <v>5146</v>
      </c>
      <c r="D12">
        <v>4762</v>
      </c>
      <c r="E12">
        <v>858</v>
      </c>
      <c r="F12">
        <v>634</v>
      </c>
      <c r="G12">
        <v>18</v>
      </c>
      <c r="I12">
        <v>21</v>
      </c>
      <c r="J12">
        <v>1</v>
      </c>
      <c r="M12">
        <f>SUM(progress_assignment_fd68e454_ba45_4b85_8205_f3bf777ded24_sulteng_6_Juli_2026[[#This Row],[OPEN]:[REJECTED BY Admin Kabupaten]])</f>
        <v>45162</v>
      </c>
      <c r="N12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10582</v>
      </c>
      <c r="O12" s="2">
        <f>progress_assignment_fd68e454_ba45_4b85_8205_f3bf777ded24_sulteng_6_Juli_2026[[#This Row],[Not Draft + Open]]/progress_assignment_fd68e454_ba45_4b85_8205_f3bf777ded24_sulteng_6_Juli_2026[[#This Row],[Total]]*100</f>
        <v>23.431203223949339</v>
      </c>
      <c r="P12">
        <f>RANK(progress_assignment_fd68e454_ba45_4b85_8205_f3bf777ded24_sulteng_6_Juli_2026[[#This Row],[Persentase]],progress_assignment_fd68e454_ba45_4b85_8205_f3bf777ded24_sulteng_6_Juli_2026[Persentase],0)</f>
        <v>11</v>
      </c>
    </row>
    <row r="13" spans="1:16" x14ac:dyDescent="0.3">
      <c r="A13">
        <v>7203</v>
      </c>
      <c r="B13">
        <v>40761</v>
      </c>
      <c r="C13">
        <v>4290</v>
      </c>
      <c r="D13">
        <v>7419</v>
      </c>
      <c r="E13">
        <v>2122</v>
      </c>
      <c r="F13">
        <v>310</v>
      </c>
      <c r="G13">
        <v>5</v>
      </c>
      <c r="I13">
        <v>23</v>
      </c>
      <c r="K13">
        <v>1</v>
      </c>
      <c r="L13">
        <v>1</v>
      </c>
      <c r="M13">
        <f>SUM(progress_assignment_fd68e454_ba45_4b85_8205_f3bf777ded24_sulteng_6_Juli_2026[[#This Row],[OPEN]:[REJECTED BY Admin Kabupaten]])</f>
        <v>54932</v>
      </c>
      <c r="N13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12049</v>
      </c>
      <c r="O13" s="2">
        <f>progress_assignment_fd68e454_ba45_4b85_8205_f3bf777ded24_sulteng_6_Juli_2026[[#This Row],[Not Draft + Open]]/progress_assignment_fd68e454_ba45_4b85_8205_f3bf777ded24_sulteng_6_Juli_2026[[#This Row],[Total]]*100</f>
        <v>21.93439161144688</v>
      </c>
      <c r="P13">
        <f>RANK(progress_assignment_fd68e454_ba45_4b85_8205_f3bf777ded24_sulteng_6_Juli_2026[[#This Row],[Persentase]],progress_assignment_fd68e454_ba45_4b85_8205_f3bf777ded24_sulteng_6_Juli_2026[Persentase],0)</f>
        <v>12</v>
      </c>
    </row>
    <row r="14" spans="1:16" x14ac:dyDescent="0.3">
      <c r="A14">
        <v>7271</v>
      </c>
      <c r="B14">
        <v>139087</v>
      </c>
      <c r="C14">
        <v>15720</v>
      </c>
      <c r="D14">
        <v>15108</v>
      </c>
      <c r="E14">
        <v>8995</v>
      </c>
      <c r="F14">
        <v>1145</v>
      </c>
      <c r="G14">
        <v>660</v>
      </c>
      <c r="H14">
        <v>166</v>
      </c>
      <c r="I14">
        <v>41</v>
      </c>
      <c r="J14">
        <v>26</v>
      </c>
      <c r="K14">
        <v>10</v>
      </c>
      <c r="M14">
        <f>SUM(progress_assignment_fd68e454_ba45_4b85_8205_f3bf777ded24_sulteng_6_Juli_2026[[#This Row],[OPEN]:[REJECTED BY Admin Kabupaten]])</f>
        <v>180958</v>
      </c>
      <c r="N14">
        <f>progress_assignment_fd68e454_ba45_4b85_8205_f3bf777ded24_sulteng_6_Juli_2026[[#This Row],[REJECTED BY Admin Kabupaten]]+progress_assignment_fd68e454_ba45_4b85_8205_f3bf777ded24_sulteng_6_Juli_2026[[#This Row],[EDITED BY Pengawas]]+progress_assignment_fd68e454_ba45_4b85_8205_f3bf777ded24_sulteng_6_Juli_2026[[#This Row],[SUBMITTED RESPONDENT]]+progress_assignment_fd68e454_ba45_4b85_8205_f3bf777ded24_sulteng_6_Juli_2026[[#This Row],[REVOKED BY Pengawas]]+progress_assignment_fd68e454_ba45_4b85_8205_f3bf777ded24_sulteng_6_Juli_2026[[#This Row],[COMPLETED BY Admin Kabupaten]]+progress_assignment_fd68e454_ba45_4b85_8205_f3bf777ded24_sulteng_6_Juli_2026[[#This Row],[EDITED BY Admin Kabupaten]]+progress_assignment_fd68e454_ba45_4b85_8205_f3bf777ded24_sulteng_6_Juli_2026[[#This Row],[REJECTED BY Pengawas]]+progress_assignment_fd68e454_ba45_4b85_8205_f3bf777ded24_sulteng_6_Juli_2026[[#This Row],[SUBMITTED BY Pencacah]]+progress_assignment_fd68e454_ba45_4b85_8205_f3bf777ded24_sulteng_6_Juli_2026[[#This Row],[APPROVED BY Pengawas]]</f>
        <v>32876</v>
      </c>
      <c r="O14" s="2">
        <f>progress_assignment_fd68e454_ba45_4b85_8205_f3bf777ded24_sulteng_6_Juli_2026[[#This Row],[Not Draft + Open]]/progress_assignment_fd68e454_ba45_4b85_8205_f3bf777ded24_sulteng_6_Juli_2026[[#This Row],[Total]]*100</f>
        <v>18.167751632975605</v>
      </c>
      <c r="P14">
        <f>RANK(progress_assignment_fd68e454_ba45_4b85_8205_f3bf777ded24_sulteng_6_Juli_2026[[#This Row],[Persentase]],progress_assignment_fd68e454_ba45_4b85_8205_f3bf777ded24_sulteng_6_Juli_2026[Persentase],0)</f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68AD-62F9-4DBE-9FAD-7B8846E2C95A}">
  <dimension ref="A1:P16"/>
  <sheetViews>
    <sheetView tabSelected="1" workbookViewId="0">
      <selection activeCell="S19" sqref="S19"/>
    </sheetView>
  </sheetViews>
  <sheetFormatPr defaultRowHeight="14.4" x14ac:dyDescent="0.3"/>
  <cols>
    <col min="1" max="1" width="10" bestFit="1" customWidth="1"/>
    <col min="2" max="2" width="8" hidden="1" customWidth="1"/>
    <col min="3" max="3" width="24.33203125" hidden="1" customWidth="1"/>
    <col min="4" max="4" width="24.6640625" hidden="1" customWidth="1"/>
    <col min="5" max="5" width="8.6640625" hidden="1" customWidth="1"/>
    <col min="6" max="6" width="23" hidden="1" customWidth="1"/>
    <col min="7" max="7" width="27.88671875" hidden="1" customWidth="1"/>
    <col min="8" max="8" width="32.44140625" hidden="1" customWidth="1"/>
    <col min="9" max="9" width="22.88671875" hidden="1" customWidth="1"/>
    <col min="10" max="10" width="25.44140625" hidden="1" customWidth="1"/>
    <col min="11" max="11" width="20.88671875" hidden="1" customWidth="1"/>
    <col min="12" max="12" width="30" hidden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spans="1:16" x14ac:dyDescent="0.3">
      <c r="A2">
        <v>7211</v>
      </c>
      <c r="B2">
        <v>18429</v>
      </c>
      <c r="C2">
        <v>9733</v>
      </c>
      <c r="D2">
        <v>1248</v>
      </c>
      <c r="E2">
        <v>232</v>
      </c>
      <c r="F2">
        <v>126</v>
      </c>
      <c r="I2">
        <v>16</v>
      </c>
      <c r="J2">
        <v>24</v>
      </c>
      <c r="K2">
        <v>1</v>
      </c>
      <c r="M2">
        <f>SUM(progress_assignment_fd68e454_ba45_4b85_8205_f3bf777ded24__3[[#This Row],[OPEN]:[REJECTED BY Admin Kabupaten]])</f>
        <v>29809</v>
      </c>
      <c r="N2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11148</v>
      </c>
      <c r="O2" s="2">
        <f>progress_assignment_fd68e454_ba45_4b85_8205_f3bf777ded24__3[[#This Row],[Not Draft + Open]]/progress_assignment_fd68e454_ba45_4b85_8205_f3bf777ded24__3[[#This Row],[Total]]*100</f>
        <v>37.398101244590556</v>
      </c>
      <c r="P2">
        <f>RANK(progress_assignment_fd68e454_ba45_4b85_8205_f3bf777ded24__3[[#This Row],[Persentase]],O2:O14,0)</f>
        <v>1</v>
      </c>
    </row>
    <row r="3" spans="1:16" x14ac:dyDescent="0.3">
      <c r="A3">
        <v>7201</v>
      </c>
      <c r="B3">
        <v>29849</v>
      </c>
      <c r="C3">
        <v>7772</v>
      </c>
      <c r="D3">
        <v>7798</v>
      </c>
      <c r="E3">
        <v>1709</v>
      </c>
      <c r="F3">
        <v>929</v>
      </c>
      <c r="G3">
        <v>36</v>
      </c>
      <c r="I3">
        <v>40</v>
      </c>
      <c r="J3">
        <v>95</v>
      </c>
      <c r="K3">
        <v>1</v>
      </c>
      <c r="M3">
        <f>SUM(progress_assignment_fd68e454_ba45_4b85_8205_f3bf777ded24__3[[#This Row],[OPEN]:[REJECTED BY Admin Kabupaten]])</f>
        <v>48229</v>
      </c>
      <c r="N3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16671</v>
      </c>
      <c r="O3" s="2">
        <f>progress_assignment_fd68e454_ba45_4b85_8205_f3bf777ded24__3[[#This Row],[Not Draft + Open]]/progress_assignment_fd68e454_ba45_4b85_8205_f3bf777ded24__3[[#This Row],[Total]]*100</f>
        <v>34.566339754089867</v>
      </c>
      <c r="P3">
        <f>RANK(progress_assignment_fd68e454_ba45_4b85_8205_f3bf777ded24__3[[#This Row],[Persentase]],progress_assignment_fd68e454_ba45_4b85_8205_f3bf777ded24__3[Persentase],0)</f>
        <v>2</v>
      </c>
    </row>
    <row r="4" spans="1:16" x14ac:dyDescent="0.3">
      <c r="A4">
        <v>7209</v>
      </c>
      <c r="B4">
        <v>40475</v>
      </c>
      <c r="C4">
        <v>10456</v>
      </c>
      <c r="D4">
        <v>8949</v>
      </c>
      <c r="E4">
        <v>1257</v>
      </c>
      <c r="F4">
        <v>1900</v>
      </c>
      <c r="I4">
        <v>117</v>
      </c>
      <c r="J4">
        <v>4</v>
      </c>
      <c r="K4">
        <v>4</v>
      </c>
      <c r="M4">
        <f>SUM(progress_assignment_fd68e454_ba45_4b85_8205_f3bf777ded24__3[[#This Row],[OPEN]:[REJECTED BY Admin Kabupaten]])</f>
        <v>63162</v>
      </c>
      <c r="N4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21430</v>
      </c>
      <c r="O4" s="2">
        <f>progress_assignment_fd68e454_ba45_4b85_8205_f3bf777ded24__3[[#This Row],[Not Draft + Open]]/progress_assignment_fd68e454_ba45_4b85_8205_f3bf777ded24__3[[#This Row],[Total]]*100</f>
        <v>33.928627972515116</v>
      </c>
      <c r="P4">
        <f>RANK(progress_assignment_fd68e454_ba45_4b85_8205_f3bf777ded24__3[[#This Row],[Persentase]],progress_assignment_fd68e454_ba45_4b85_8205_f3bf777ded24__3[Persentase],0)</f>
        <v>3</v>
      </c>
    </row>
    <row r="5" spans="1:16" x14ac:dyDescent="0.3">
      <c r="A5">
        <v>7208</v>
      </c>
      <c r="B5">
        <v>117403</v>
      </c>
      <c r="C5">
        <v>24499</v>
      </c>
      <c r="D5">
        <v>34147</v>
      </c>
      <c r="E5">
        <v>3292</v>
      </c>
      <c r="F5">
        <v>2410</v>
      </c>
      <c r="G5">
        <v>22</v>
      </c>
      <c r="H5">
        <v>3</v>
      </c>
      <c r="I5">
        <v>110</v>
      </c>
      <c r="J5">
        <v>5</v>
      </c>
      <c r="K5">
        <v>14</v>
      </c>
      <c r="M5">
        <f>SUM(progress_assignment_fd68e454_ba45_4b85_8205_f3bf777ded24__3[[#This Row],[OPEN]:[REJECTED BY Admin Kabupaten]])</f>
        <v>181905</v>
      </c>
      <c r="N5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61210</v>
      </c>
      <c r="O5" s="2">
        <f>progress_assignment_fd68e454_ba45_4b85_8205_f3bf777ded24__3[[#This Row],[Not Draft + Open]]/progress_assignment_fd68e454_ba45_4b85_8205_f3bf777ded24__3[[#This Row],[Total]]*100</f>
        <v>33.649432396030896</v>
      </c>
      <c r="P5">
        <f>RANK(progress_assignment_fd68e454_ba45_4b85_8205_f3bf777ded24__3[[#This Row],[Persentase]],progress_assignment_fd68e454_ba45_4b85_8205_f3bf777ded24__3[Persentase],0)</f>
        <v>4</v>
      </c>
    </row>
    <row r="6" spans="1:16" x14ac:dyDescent="0.3">
      <c r="A6">
        <v>7202</v>
      </c>
      <c r="B6">
        <v>98488</v>
      </c>
      <c r="C6">
        <v>10208</v>
      </c>
      <c r="D6">
        <v>37484</v>
      </c>
      <c r="E6">
        <v>4282</v>
      </c>
      <c r="F6">
        <v>2000</v>
      </c>
      <c r="G6">
        <v>15</v>
      </c>
      <c r="I6">
        <v>41</v>
      </c>
      <c r="J6">
        <v>4</v>
      </c>
      <c r="K6">
        <v>4</v>
      </c>
      <c r="L6">
        <v>1</v>
      </c>
      <c r="M6">
        <f>SUM(progress_assignment_fd68e454_ba45_4b85_8205_f3bf777ded24__3[[#This Row],[OPEN]:[REJECTED BY Admin Kabupaten]])</f>
        <v>152527</v>
      </c>
      <c r="N6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49757</v>
      </c>
      <c r="O6" s="2">
        <f>progress_assignment_fd68e454_ba45_4b85_8205_f3bf777ded24__3[[#This Row],[Not Draft + Open]]/progress_assignment_fd68e454_ba45_4b85_8205_f3bf777ded24__3[[#This Row],[Total]]*100</f>
        <v>32.621765326794602</v>
      </c>
      <c r="P6">
        <f>RANK(progress_assignment_fd68e454_ba45_4b85_8205_f3bf777ded24__3[[#This Row],[Persentase]],progress_assignment_fd68e454_ba45_4b85_8205_f3bf777ded24__3[Persentase],0)</f>
        <v>5</v>
      </c>
    </row>
    <row r="7" spans="1:16" x14ac:dyDescent="0.3">
      <c r="A7">
        <v>7210</v>
      </c>
      <c r="B7">
        <v>74772</v>
      </c>
      <c r="C7">
        <v>18027</v>
      </c>
      <c r="D7">
        <v>17247</v>
      </c>
      <c r="E7">
        <v>1947</v>
      </c>
      <c r="F7">
        <v>1375</v>
      </c>
      <c r="H7">
        <v>2</v>
      </c>
      <c r="I7">
        <v>77</v>
      </c>
      <c r="J7">
        <v>8</v>
      </c>
      <c r="K7">
        <v>6</v>
      </c>
      <c r="L7">
        <v>4</v>
      </c>
      <c r="M7">
        <f>SUM(progress_assignment_fd68e454_ba45_4b85_8205_f3bf777ded24__3[[#This Row],[OPEN]:[REJECTED BY Admin Kabupaten]])</f>
        <v>113465</v>
      </c>
      <c r="N7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36746</v>
      </c>
      <c r="O7" s="2">
        <f>progress_assignment_fd68e454_ba45_4b85_8205_f3bf777ded24__3[[#This Row],[Not Draft + Open]]/progress_assignment_fd68e454_ba45_4b85_8205_f3bf777ded24__3[[#This Row],[Total]]*100</f>
        <v>32.385317058123654</v>
      </c>
      <c r="P7">
        <f>RANK(progress_assignment_fd68e454_ba45_4b85_8205_f3bf777ded24__3[[#This Row],[Persentase]],progress_assignment_fd68e454_ba45_4b85_8205_f3bf777ded24__3[Persentase],0)</f>
        <v>6</v>
      </c>
    </row>
    <row r="8" spans="1:16" x14ac:dyDescent="0.3">
      <c r="A8">
        <v>7204</v>
      </c>
      <c r="B8">
        <v>73524</v>
      </c>
      <c r="C8">
        <v>13808</v>
      </c>
      <c r="D8">
        <v>19668</v>
      </c>
      <c r="E8">
        <v>3220</v>
      </c>
      <c r="F8">
        <v>1676</v>
      </c>
      <c r="G8">
        <v>68</v>
      </c>
      <c r="I8">
        <v>56</v>
      </c>
      <c r="J8">
        <v>47</v>
      </c>
      <c r="K8">
        <v>3</v>
      </c>
      <c r="L8">
        <v>16</v>
      </c>
      <c r="M8">
        <f>SUM(progress_assignment_fd68e454_ba45_4b85_8205_f3bf777ded24__3[[#This Row],[OPEN]:[REJECTED BY Admin Kabupaten]])</f>
        <v>112086</v>
      </c>
      <c r="N8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35342</v>
      </c>
      <c r="O8" s="2">
        <f>progress_assignment_fd68e454_ba45_4b85_8205_f3bf777ded24__3[[#This Row],[Not Draft + Open]]/progress_assignment_fd68e454_ba45_4b85_8205_f3bf777ded24__3[[#This Row],[Total]]*100</f>
        <v>31.531145727387898</v>
      </c>
      <c r="P8">
        <f>RANK(progress_assignment_fd68e454_ba45_4b85_8205_f3bf777ded24__3[[#This Row],[Persentase]],progress_assignment_fd68e454_ba45_4b85_8205_f3bf777ded24__3[Persentase],0)</f>
        <v>7</v>
      </c>
    </row>
    <row r="9" spans="1:16" x14ac:dyDescent="0.3">
      <c r="A9">
        <v>7205</v>
      </c>
      <c r="B9">
        <v>77342</v>
      </c>
      <c r="C9">
        <v>27120</v>
      </c>
      <c r="D9">
        <v>8098</v>
      </c>
      <c r="E9">
        <v>2413</v>
      </c>
      <c r="F9">
        <v>762</v>
      </c>
      <c r="G9">
        <v>79</v>
      </c>
      <c r="I9">
        <v>46</v>
      </c>
      <c r="J9">
        <v>5</v>
      </c>
      <c r="K9">
        <v>1</v>
      </c>
      <c r="L9">
        <v>33</v>
      </c>
      <c r="M9">
        <f>SUM(progress_assignment_fd68e454_ba45_4b85_8205_f3bf777ded24__3[[#This Row],[OPEN]:[REJECTED BY Admin Kabupaten]])</f>
        <v>115899</v>
      </c>
      <c r="N9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36144</v>
      </c>
      <c r="O9" s="2">
        <f>progress_assignment_fd68e454_ba45_4b85_8205_f3bf777ded24__3[[#This Row],[Not Draft + Open]]/progress_assignment_fd68e454_ba45_4b85_8205_f3bf777ded24__3[[#This Row],[Total]]*100</f>
        <v>31.185773820309059</v>
      </c>
      <c r="P9">
        <f>RANK(progress_assignment_fd68e454_ba45_4b85_8205_f3bf777ded24__3[[#This Row],[Persentase]],progress_assignment_fd68e454_ba45_4b85_8205_f3bf777ded24__3[Persentase],0)</f>
        <v>8</v>
      </c>
    </row>
    <row r="10" spans="1:16" x14ac:dyDescent="0.3">
      <c r="A10">
        <v>7206</v>
      </c>
      <c r="B10">
        <v>56235</v>
      </c>
      <c r="C10">
        <v>14246</v>
      </c>
      <c r="D10">
        <v>11018</v>
      </c>
      <c r="E10">
        <v>2589</v>
      </c>
      <c r="F10">
        <v>765</v>
      </c>
      <c r="G10">
        <v>167</v>
      </c>
      <c r="I10">
        <v>80</v>
      </c>
      <c r="K10">
        <v>3</v>
      </c>
      <c r="M10">
        <f>SUM(progress_assignment_fd68e454_ba45_4b85_8205_f3bf777ded24__3[[#This Row],[OPEN]:[REJECTED BY Admin Kabupaten]])</f>
        <v>85103</v>
      </c>
      <c r="N10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26279</v>
      </c>
      <c r="O10" s="2">
        <f>progress_assignment_fd68e454_ba45_4b85_8205_f3bf777ded24__3[[#This Row],[Not Draft + Open]]/progress_assignment_fd68e454_ba45_4b85_8205_f3bf777ded24__3[[#This Row],[Total]]*100</f>
        <v>30.879052442334583</v>
      </c>
      <c r="P10">
        <f>RANK(progress_assignment_fd68e454_ba45_4b85_8205_f3bf777ded24__3[[#This Row],[Persentase]],progress_assignment_fd68e454_ba45_4b85_8205_f3bf777ded24__3[Persentase],0)</f>
        <v>9</v>
      </c>
    </row>
    <row r="11" spans="1:16" x14ac:dyDescent="0.3">
      <c r="A11">
        <v>7207</v>
      </c>
      <c r="B11">
        <v>40472</v>
      </c>
      <c r="C11">
        <v>6463</v>
      </c>
      <c r="D11">
        <v>10922</v>
      </c>
      <c r="E11">
        <v>2689</v>
      </c>
      <c r="F11">
        <v>1370</v>
      </c>
      <c r="G11">
        <v>25</v>
      </c>
      <c r="I11">
        <v>32</v>
      </c>
      <c r="J11">
        <v>46</v>
      </c>
      <c r="K11">
        <v>2</v>
      </c>
      <c r="L11">
        <v>3</v>
      </c>
      <c r="M11">
        <f>SUM(progress_assignment_fd68e454_ba45_4b85_8205_f3bf777ded24__3[[#This Row],[OPEN]:[REJECTED BY Admin Kabupaten]])</f>
        <v>62024</v>
      </c>
      <c r="N11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18863</v>
      </c>
      <c r="O11" s="2">
        <f>progress_assignment_fd68e454_ba45_4b85_8205_f3bf777ded24__3[[#This Row],[Not Draft + Open]]/progress_assignment_fd68e454_ba45_4b85_8205_f3bf777ded24__3[[#This Row],[Total]]*100</f>
        <v>30.412420998323231</v>
      </c>
      <c r="P11">
        <f>RANK(progress_assignment_fd68e454_ba45_4b85_8205_f3bf777ded24__3[[#This Row],[Persentase]],progress_assignment_fd68e454_ba45_4b85_8205_f3bf777ded24__3[Persentase],0)</f>
        <v>10</v>
      </c>
    </row>
    <row r="12" spans="1:16" x14ac:dyDescent="0.3">
      <c r="A12">
        <v>7212</v>
      </c>
      <c r="B12">
        <v>32902</v>
      </c>
      <c r="C12">
        <v>5808</v>
      </c>
      <c r="D12">
        <v>5214</v>
      </c>
      <c r="E12">
        <v>859</v>
      </c>
      <c r="F12">
        <v>573</v>
      </c>
      <c r="G12">
        <v>18</v>
      </c>
      <c r="I12">
        <v>16</v>
      </c>
      <c r="J12">
        <v>1</v>
      </c>
      <c r="M12">
        <f>SUM(progress_assignment_fd68e454_ba45_4b85_8205_f3bf777ded24__3[[#This Row],[OPEN]:[REJECTED BY Admin Kabupaten]])</f>
        <v>45391</v>
      </c>
      <c r="N12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11630</v>
      </c>
      <c r="O12" s="2">
        <f>progress_assignment_fd68e454_ba45_4b85_8205_f3bf777ded24__3[[#This Row],[Not Draft + Open]]/progress_assignment_fd68e454_ba45_4b85_8205_f3bf777ded24__3[[#This Row],[Total]]*100</f>
        <v>25.621819303386133</v>
      </c>
      <c r="P12">
        <f>RANK(progress_assignment_fd68e454_ba45_4b85_8205_f3bf777ded24__3[[#This Row],[Persentase]],progress_assignment_fd68e454_ba45_4b85_8205_f3bf777ded24__3[Persentase],0)</f>
        <v>12</v>
      </c>
    </row>
    <row r="13" spans="1:16" x14ac:dyDescent="0.3">
      <c r="A13">
        <v>7203</v>
      </c>
      <c r="B13">
        <v>40261</v>
      </c>
      <c r="C13">
        <v>4542</v>
      </c>
      <c r="D13">
        <v>7926</v>
      </c>
      <c r="E13">
        <v>2367</v>
      </c>
      <c r="F13">
        <v>294</v>
      </c>
      <c r="G13">
        <v>17</v>
      </c>
      <c r="I13">
        <v>25</v>
      </c>
      <c r="K13">
        <v>1</v>
      </c>
      <c r="L13">
        <v>3</v>
      </c>
      <c r="M13">
        <f>SUM(progress_assignment_fd68e454_ba45_4b85_8205_f3bf777ded24__3[[#This Row],[OPEN]:[REJECTED BY Admin Kabupaten]])</f>
        <v>55436</v>
      </c>
      <c r="N13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12808</v>
      </c>
      <c r="O13" s="2">
        <f>progress_assignment_fd68e454_ba45_4b85_8205_f3bf777ded24__3[[#This Row],[Not Draft + Open]]/progress_assignment_fd68e454_ba45_4b85_8205_f3bf777ded24__3[[#This Row],[Total]]*100</f>
        <v>23.104120066382855</v>
      </c>
      <c r="P13">
        <f>RANK(progress_assignment_fd68e454_ba45_4b85_8205_f3bf777ded24__3[[#This Row],[Persentase]],progress_assignment_fd68e454_ba45_4b85_8205_f3bf777ded24__3[Persentase],0)</f>
        <v>13</v>
      </c>
    </row>
    <row r="14" spans="1:16" x14ac:dyDescent="0.3">
      <c r="A14">
        <v>7271</v>
      </c>
      <c r="B14">
        <v>137666</v>
      </c>
      <c r="C14">
        <v>16811</v>
      </c>
      <c r="D14">
        <v>16543</v>
      </c>
      <c r="E14">
        <v>8961</v>
      </c>
      <c r="F14">
        <v>990</v>
      </c>
      <c r="G14">
        <v>756</v>
      </c>
      <c r="H14">
        <v>166</v>
      </c>
      <c r="I14">
        <v>39</v>
      </c>
      <c r="J14">
        <v>25</v>
      </c>
      <c r="K14">
        <v>10</v>
      </c>
      <c r="M14">
        <f>SUM(progress_assignment_fd68e454_ba45_4b85_8205_f3bf777ded24__3[[#This Row],[OPEN]:[REJECTED BY Admin Kabupaten]])</f>
        <v>181967</v>
      </c>
      <c r="N14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35340</v>
      </c>
      <c r="O14" s="2">
        <f>progress_assignment_fd68e454_ba45_4b85_8205_f3bf777ded24__3[[#This Row],[Not Draft + Open]]/progress_assignment_fd68e454_ba45_4b85_8205_f3bf777ded24__3[[#This Row],[Total]]*100</f>
        <v>19.421103826517996</v>
      </c>
      <c r="P14">
        <f>RANK(progress_assignment_fd68e454_ba45_4b85_8205_f3bf777ded24__3[[#This Row],[Persentase]],progress_assignment_fd68e454_ba45_4b85_8205_f3bf777ded24__3[Persentase],0)</f>
        <v>14</v>
      </c>
    </row>
    <row r="15" spans="1:16" x14ac:dyDescent="0.3">
      <c r="M15" s="3"/>
      <c r="N15" s="3"/>
      <c r="O15" s="2"/>
      <c r="P15" s="3"/>
    </row>
    <row r="16" spans="1:16" x14ac:dyDescent="0.3">
      <c r="A16" s="4">
        <v>7200</v>
      </c>
      <c r="B16" s="4">
        <f>SUM(B2:B14)</f>
        <v>837818</v>
      </c>
      <c r="C16" s="4">
        <f t="shared" ref="C16:L16" si="0">SUM(C2:C14)</f>
        <v>169493</v>
      </c>
      <c r="D16" s="4">
        <f t="shared" si="0"/>
        <v>186262</v>
      </c>
      <c r="E16" s="4">
        <f t="shared" si="0"/>
        <v>35817</v>
      </c>
      <c r="F16" s="4">
        <f t="shared" si="0"/>
        <v>15170</v>
      </c>
      <c r="G16" s="4">
        <f t="shared" si="0"/>
        <v>1203</v>
      </c>
      <c r="H16" s="4">
        <f t="shared" si="0"/>
        <v>171</v>
      </c>
      <c r="I16" s="4">
        <f t="shared" si="0"/>
        <v>695</v>
      </c>
      <c r="J16" s="4">
        <f t="shared" si="0"/>
        <v>264</v>
      </c>
      <c r="K16" s="4">
        <f t="shared" si="0"/>
        <v>50</v>
      </c>
      <c r="L16" s="4">
        <f t="shared" si="0"/>
        <v>60</v>
      </c>
      <c r="M16" s="5">
        <f>SUM(progress_assignment_fd68e454_ba45_4b85_8205_f3bf777ded24__3[[#This Row],[OPEN]:[REJECTED BY Admin Kabupaten]])</f>
        <v>1247003</v>
      </c>
      <c r="N16" s="5">
        <f>progress_assignment_fd68e454_ba45_4b85_8205_f3bf777ded24__3[[#This Row],[REJECTED BY Admin Kabupaten]]+progress_assignment_fd68e454_ba45_4b85_8205_f3bf777ded24__3[[#This Row],[EDITED BY Pengawas]]+progress_assignment_fd68e454_ba45_4b85_8205_f3bf777ded24__3[[#This Row],[SUBMITTED RESPONDENT]]+progress_assignment_fd68e454_ba45_4b85_8205_f3bf777ded24__3[[#This Row],[REVOKED BY Pengawas]]+progress_assignment_fd68e454_ba45_4b85_8205_f3bf777ded24__3[[#This Row],[COMPLETED BY Admin Kabupaten]]+progress_assignment_fd68e454_ba45_4b85_8205_f3bf777ded24__3[[#This Row],[EDITED BY Admin Kabupaten]]+progress_assignment_fd68e454_ba45_4b85_8205_f3bf777ded24__3[[#This Row],[REJECTED BY Pengawas]]+progress_assignment_fd68e454_ba45_4b85_8205_f3bf777ded24__3[[#This Row],[SUBMITTED BY Pencacah]]+progress_assignment_fd68e454_ba45_4b85_8205_f3bf777ded24__3[[#This Row],[APPROVED BY Pengawas]]</f>
        <v>373368</v>
      </c>
      <c r="O16" s="6">
        <f>progress_assignment_fd68e454_ba45_4b85_8205_f3bf777ded24__3[[#This Row],[Not Draft + Open]]/progress_assignment_fd68e454_ba45_4b85_8205_f3bf777ded24__3[[#This Row],[Total]]*100</f>
        <v>29.941227086061538</v>
      </c>
      <c r="P16" s="5">
        <f>RANK(progress_assignment_fd68e454_ba45_4b85_8205_f3bf777ded24__3[[#This Row],[Persentase]],progress_assignment_fd68e454_ba45_4b85_8205_f3bf777ded24__3[Persentase],0)</f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CD68-5BCC-40A9-A7C1-E12EA04393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e7a774-13ff-4888-9742-da9a3af45f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B5E054EDD4E49921E9E8D61F339BF" ma:contentTypeVersion="12" ma:contentTypeDescription="Create a new document." ma:contentTypeScope="" ma:versionID="4369b98df92cc96ba9121b587c386ef8">
  <xsd:schema xmlns:xsd="http://www.w3.org/2001/XMLSchema" xmlns:xs="http://www.w3.org/2001/XMLSchema" xmlns:p="http://schemas.microsoft.com/office/2006/metadata/properties" xmlns:ns3="f2e7a774-13ff-4888-9742-da9a3af45ffc" targetNamespace="http://schemas.microsoft.com/office/2006/metadata/properties" ma:root="true" ma:fieldsID="51f2d79caa056715cecf070ed41e3768" ns3:_="">
    <xsd:import namespace="f2e7a774-13ff-4888-9742-da9a3af45f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7a774-13ff-4888-9742-da9a3af45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C36FC03-B134-4078-B736-17EF364B41E2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f2e7a774-13ff-4888-9742-da9a3af45ff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698BF18-0D52-434D-883B-DF214E1427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4409CD-639F-4698-AA2A-CD8B640A4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e7a774-13ff-4888-9742-da9a3af45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16405AE-9DDC-4A91-AE01-B55EE5648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 Juli</vt:lpstr>
      <vt:lpstr>7 Juli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Hespri Yomeldi</cp:lastModifiedBy>
  <dcterms:created xsi:type="dcterms:W3CDTF">2026-07-05T22:31:28Z</dcterms:created>
  <dcterms:modified xsi:type="dcterms:W3CDTF">2026-07-06T22:53:03Z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0x010100751B5E054EDD4E49921E9E8D61F339BF</vt:lpwstr>
  </property>
</Properties>
</file>